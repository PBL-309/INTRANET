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PBL-ADMINISTRADOR\Downloads\"/>
    </mc:Choice>
  </mc:AlternateContent>
  <xr:revisionPtr revIDLastSave="0" documentId="13_ncr:1_{EB262612-9266-456F-B5E3-F74A68C20300}" xr6:coauthVersionLast="47" xr6:coauthVersionMax="47" xr10:uidLastSave="{00000000-0000-0000-0000-000000000000}"/>
  <bookViews>
    <workbookView xWindow="-120" yWindow="-120" windowWidth="29040" windowHeight="15720" xr2:uid="{00000000-000D-0000-FFFF-FFFF00000000}"/>
  </bookViews>
  <sheets>
    <sheet name="CALENDARIO 2025" sheetId="1" r:id="rId1"/>
    <sheet name="NORMATIVA DE ASUETOS" sheetId="3" r:id="rId2"/>
    <sheet name="CALENDARIO DE PAGO NOMINA 2025"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2" l="1"/>
  <c r="G5" i="2"/>
  <c r="G6" i="2" s="1"/>
  <c r="G7" i="2" s="1"/>
  <c r="G8" i="2" s="1"/>
  <c r="G9" i="2" s="1"/>
  <c r="G10" i="2" s="1"/>
  <c r="G11" i="2" s="1"/>
  <c r="G12" i="2" s="1"/>
  <c r="G13" i="2" s="1"/>
  <c r="G14" i="2" s="1"/>
  <c r="G15" i="2" s="1"/>
  <c r="G16" i="2" s="1"/>
  <c r="G17" i="2" s="1"/>
  <c r="G18" i="2" s="1"/>
  <c r="G19" i="2" s="1"/>
  <c r="G20" i="2" s="1"/>
  <c r="G21" i="2" s="1"/>
  <c r="G22" i="2" s="1"/>
  <c r="G23" i="2" s="1"/>
  <c r="G24" i="2" s="1"/>
  <c r="G25" i="2" s="1"/>
  <c r="G26" i="2" s="1"/>
  <c r="G27" i="2" s="1"/>
  <c r="G28" i="2" s="1"/>
  <c r="G29" i="2" s="1"/>
  <c r="G30" i="2" s="1"/>
  <c r="K30" i="2"/>
  <c r="H5" i="2" l="1"/>
  <c r="I5" i="2" s="1"/>
  <c r="H6" i="2" l="1"/>
  <c r="I6" i="2" s="1"/>
  <c r="H7" i="2" s="1"/>
  <c r="I7" i="2" s="1"/>
  <c r="H8" i="2" s="1"/>
  <c r="I8" i="2" s="1"/>
  <c r="H9" i="2" s="1"/>
  <c r="I9" i="2" s="1"/>
  <c r="H10" i="2" s="1"/>
  <c r="I10" i="2" s="1"/>
  <c r="H11" i="2" s="1"/>
  <c r="I11" i="2" s="1"/>
  <c r="H12" i="2" s="1"/>
  <c r="I12" i="2" s="1"/>
  <c r="H13" i="2" l="1"/>
  <c r="I13" i="2" s="1"/>
  <c r="H14" i="2" s="1"/>
  <c r="I14" i="2" s="1"/>
  <c r="H15" i="2" s="1"/>
  <c r="I15" i="2" s="1"/>
  <c r="H16" i="2" s="1"/>
  <c r="I16" i="2" s="1"/>
  <c r="H17" i="2" s="1"/>
  <c r="I17" i="2" s="1"/>
  <c r="H18" i="2" s="1"/>
  <c r="I18" i="2" s="1"/>
  <c r="H19" i="2" s="1"/>
  <c r="I19" i="2" s="1"/>
  <c r="H20" i="2" s="1"/>
  <c r="I20" i="2" s="1"/>
  <c r="H21" i="2" s="1"/>
  <c r="I21" i="2" s="1"/>
  <c r="H22" i="2" s="1"/>
  <c r="I22" i="2" s="1"/>
  <c r="H23" i="2" s="1"/>
  <c r="I23" i="2" s="1"/>
  <c r="H24" i="2" s="1"/>
  <c r="I24" i="2" s="1"/>
  <c r="H25" i="2" s="1"/>
  <c r="I25" i="2" s="1"/>
  <c r="H26" i="2" s="1"/>
  <c r="I26" i="2" s="1"/>
  <c r="H27" i="2" s="1"/>
  <c r="I27" i="2" s="1"/>
  <c r="H28" i="2" s="1"/>
  <c r="I28" i="2" s="1"/>
  <c r="H29" i="2" s="1"/>
  <c r="I29" i="2" s="1"/>
  <c r="H30" i="2" s="1"/>
  <c r="I30" i="2" s="1"/>
  <c r="K5" i="2"/>
  <c r="K6" i="2" s="1"/>
  <c r="K7" i="2" s="1"/>
  <c r="K8" i="2" s="1"/>
  <c r="K9" i="2" s="1"/>
  <c r="K10" i="2" s="1"/>
  <c r="K11" i="2" s="1"/>
  <c r="K12" i="2" s="1"/>
  <c r="K13" i="2" s="1"/>
  <c r="K14" i="2" s="1"/>
  <c r="K15" i="2" s="1"/>
  <c r="K16" i="2" s="1"/>
  <c r="K17" i="2" s="1"/>
  <c r="K18" i="2" s="1"/>
  <c r="K19" i="2" s="1"/>
  <c r="K20" i="2" s="1"/>
  <c r="K21" i="2" s="1"/>
  <c r="K22" i="2" s="1"/>
  <c r="K23" i="2" s="1"/>
  <c r="K24" i="2" s="1"/>
  <c r="K25" i="2" s="1"/>
  <c r="K26" i="2" s="1"/>
  <c r="K27" i="2" s="1"/>
  <c r="K28" i="2" s="1"/>
  <c r="B5" i="2" l="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C5" i="2" l="1"/>
  <c r="D5" i="2" s="1"/>
  <c r="C6" i="2" l="1"/>
  <c r="D6" i="2" s="1"/>
  <c r="C7" i="2" l="1"/>
  <c r="D7" i="2" s="1"/>
  <c r="C8" i="2" l="1"/>
  <c r="D8" i="2" s="1"/>
  <c r="C9" i="2" l="1"/>
  <c r="D9" i="2" s="1"/>
  <c r="C10" i="2" l="1"/>
  <c r="D10" i="2" s="1"/>
  <c r="C11" i="2" l="1"/>
  <c r="D11" i="2" s="1"/>
  <c r="C12" i="2" l="1"/>
  <c r="D12" i="2" s="1"/>
  <c r="C13" i="2" l="1"/>
  <c r="D13" i="2" s="1"/>
  <c r="C14" i="2" l="1"/>
  <c r="D14" i="2" s="1"/>
  <c r="C15" i="2" l="1"/>
  <c r="D15" i="2" s="1"/>
  <c r="C16" i="2" l="1"/>
  <c r="D16" i="2" s="1"/>
  <c r="C17" i="2" l="1"/>
  <c r="D17" i="2" s="1"/>
  <c r="C18" i="2" l="1"/>
  <c r="D18" i="2" s="1"/>
  <c r="C19" i="2" l="1"/>
  <c r="D19" i="2" s="1"/>
  <c r="C20" i="2" l="1"/>
  <c r="D20" i="2" s="1"/>
  <c r="C21" i="2" l="1"/>
  <c r="D21" i="2" s="1"/>
  <c r="C22" i="2" s="1"/>
  <c r="D22" i="2" l="1"/>
  <c r="C23" i="2" l="1"/>
  <c r="D23" i="2" s="1"/>
  <c r="C24" i="2" l="1"/>
  <c r="D24" i="2" s="1"/>
  <c r="C25" i="2" l="1"/>
  <c r="D25" i="2" s="1"/>
  <c r="C26" i="2" l="1"/>
  <c r="D26" i="2" s="1"/>
  <c r="C27" i="2" l="1"/>
  <c r="D27" i="2" s="1"/>
  <c r="C28" i="2" l="1"/>
  <c r="D28" i="2" s="1"/>
  <c r="C29" i="2" l="1"/>
  <c r="D29" i="2" s="1"/>
  <c r="C30" i="2" s="1"/>
  <c r="D30" i="2" s="1"/>
  <c r="L5" i="2" l="1"/>
  <c r="M5" i="2" s="1"/>
  <c r="L6" i="2" l="1"/>
  <c r="M6" i="2" s="1"/>
  <c r="L7" i="2" l="1"/>
  <c r="M7" i="2" s="1"/>
  <c r="L8" i="2" l="1"/>
  <c r="M8" i="2" s="1"/>
  <c r="L9" i="2" l="1"/>
  <c r="M9" i="2" s="1"/>
  <c r="L10" i="2" l="1"/>
  <c r="M10" i="2" s="1"/>
  <c r="L11" i="2" l="1"/>
  <c r="M11" i="2" s="1"/>
  <c r="L12" i="2" l="1"/>
  <c r="M12" i="2" s="1"/>
  <c r="L13" i="2" l="1"/>
  <c r="M13" i="2" s="1"/>
  <c r="L14" i="2" l="1"/>
  <c r="M14" i="2" s="1"/>
  <c r="L15" i="2" l="1"/>
  <c r="M15" i="2" s="1"/>
  <c r="L16" i="2" l="1"/>
  <c r="M16" i="2" s="1"/>
  <c r="L17" i="2" l="1"/>
  <c r="M17" i="2" s="1"/>
  <c r="L18" i="2" l="1"/>
  <c r="M18" i="2" s="1"/>
  <c r="L19" i="2" l="1"/>
  <c r="M19" i="2" s="1"/>
  <c r="L20" i="2" l="1"/>
  <c r="M20" i="2" s="1"/>
  <c r="L21" i="2" l="1"/>
  <c r="M21" i="2" s="1"/>
  <c r="L22" i="2" l="1"/>
  <c r="M22" i="2" s="1"/>
  <c r="L23" i="2" l="1"/>
  <c r="M23" i="2" s="1"/>
  <c r="L24" i="2" l="1"/>
  <c r="M24" i="2" s="1"/>
  <c r="L25" i="2" l="1"/>
  <c r="M25" i="2" s="1"/>
  <c r="L26" i="2" l="1"/>
  <c r="M26" i="2" s="1"/>
  <c r="L27" i="2" l="1"/>
  <c r="M27" i="2" s="1"/>
  <c r="L28" i="2" l="1"/>
  <c r="M28" i="2" s="1"/>
  <c r="L29" i="2" l="1"/>
  <c r="M29" i="2" s="1"/>
  <c r="L30" i="2" s="1"/>
  <c r="M3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 Maria Aguilar Dominguez</author>
    <author>Administrador</author>
    <author>Berenice Del Rocio Lira Godinez</author>
    <author>PBL-ADMINISTRADOR</author>
    <author>Jose Guadalupe Vera Torres</author>
  </authors>
  <commentList>
    <comment ref="E5" authorId="0" shapeId="0" xr:uid="{00000000-0006-0000-0000-000001000000}">
      <text>
        <r>
          <rPr>
            <b/>
            <sz val="8"/>
            <color indexed="81"/>
            <rFont val="Arial"/>
            <family val="2"/>
          </rPr>
          <t>DIA DE ASUETO POR
AÑO NUEVO</t>
        </r>
      </text>
    </comment>
    <comment ref="F5" authorId="0" shapeId="0" xr:uid="{00000000-0006-0000-0000-000002000000}">
      <text>
        <r>
          <rPr>
            <b/>
            <sz val="9"/>
            <color indexed="81"/>
            <rFont val="Tahoma"/>
            <family val="2"/>
          </rPr>
          <t xml:space="preserve">PROBABLE PAGO DE DIA DE REYES. NOMINA SEMANAL </t>
        </r>
        <r>
          <rPr>
            <sz val="9"/>
            <color indexed="81"/>
            <rFont val="Tahoma"/>
            <family val="2"/>
          </rPr>
          <t xml:space="preserve">
</t>
        </r>
      </text>
    </comment>
    <comment ref="G5" authorId="0" shapeId="0" xr:uid="{00000000-0006-0000-0000-000003000000}">
      <text>
        <r>
          <rPr>
            <b/>
            <sz val="9"/>
            <color indexed="81"/>
            <rFont val="Tahoma"/>
            <family val="2"/>
          </rPr>
          <t>PROBABLE PAGO DE DIA DE REYES. NOMINA  CATORCENAL</t>
        </r>
        <r>
          <rPr>
            <sz val="9"/>
            <color indexed="81"/>
            <rFont val="Tahoma"/>
            <family val="2"/>
          </rPr>
          <t xml:space="preserve">
</t>
        </r>
      </text>
    </comment>
    <comment ref="D6" authorId="1" shapeId="0" xr:uid="{00000000-0006-0000-0000-000004000000}">
      <text>
        <r>
          <rPr>
            <b/>
            <sz val="8"/>
            <color indexed="81"/>
            <rFont val="Arial"/>
            <family val="2"/>
          </rPr>
          <t>REINICIO DE ACTIVIDADES</t>
        </r>
        <r>
          <rPr>
            <sz val="8"/>
            <color indexed="81"/>
            <rFont val="Tahoma"/>
            <family val="2"/>
          </rPr>
          <t xml:space="preserve">
</t>
        </r>
      </text>
    </comment>
    <comment ref="K6" authorId="2" shapeId="0" xr:uid="{00000000-0006-0000-0000-000005000000}">
      <text>
        <r>
          <rPr>
            <b/>
            <sz val="8"/>
            <color indexed="81"/>
            <rFont val="Arial"/>
            <family val="2"/>
          </rPr>
          <t>ASUETO:
ANIVERSARIO DE LA CONSTITUCIÓN</t>
        </r>
      </text>
    </comment>
    <comment ref="AD7" authorId="1" shapeId="0" xr:uid="{00000000-0006-0000-0000-000006000000}">
      <text>
        <r>
          <rPr>
            <b/>
            <sz val="8"/>
            <color indexed="81"/>
            <rFont val="Arial"/>
            <family val="2"/>
          </rPr>
          <t xml:space="preserve">ASUETO: JUEVES SANTO
Y PAGO DE NOMINA CATORCENAL
</t>
        </r>
      </text>
    </comment>
    <comment ref="AE7" authorId="1" shapeId="0" xr:uid="{00000000-0006-0000-0000-000007000000}">
      <text>
        <r>
          <rPr>
            <b/>
            <sz val="8"/>
            <color indexed="81"/>
            <rFont val="Arial"/>
            <family val="2"/>
          </rPr>
          <t xml:space="preserve">ASUETO: VIERNES SANTO Y APGO DE NOMINA SEMANAL
</t>
        </r>
      </text>
    </comment>
    <comment ref="C8" authorId="0" shapeId="0" xr:uid="{00000000-0006-0000-0000-000008000000}">
      <text>
        <r>
          <rPr>
            <b/>
            <sz val="8"/>
            <color indexed="81"/>
            <rFont val="Arial"/>
            <family val="2"/>
          </rPr>
          <t>ASUETO:
ANIVERSARIO DE LA FUNDACIÓN DE LA CIUDAD</t>
        </r>
      </text>
    </comment>
    <comment ref="S8" authorId="1" shapeId="0" xr:uid="{00000000-0006-0000-0000-000009000000}">
      <text>
        <r>
          <rPr>
            <b/>
            <sz val="8"/>
            <color indexed="81"/>
            <rFont val="Tahoma"/>
            <family val="2"/>
          </rPr>
          <t xml:space="preserve">ASUETO;
</t>
        </r>
        <r>
          <rPr>
            <b/>
            <sz val="8"/>
            <color indexed="81"/>
            <rFont val="Arial"/>
            <family val="2"/>
          </rPr>
          <t>NATALICIO DE BENITO JUAREZ</t>
        </r>
      </text>
    </comment>
    <comment ref="F14" authorId="0" shapeId="0" xr:uid="{00000000-0006-0000-0000-00000A000000}">
      <text>
        <r>
          <rPr>
            <b/>
            <sz val="9"/>
            <color indexed="81"/>
            <rFont val="Tahoma"/>
            <family val="2"/>
          </rPr>
          <t>ASUETO: DIA DEL TRABAJO.  PAGO DE DÍA LAS MADRES NOMINA CATORCENAL</t>
        </r>
        <r>
          <rPr>
            <sz val="9"/>
            <color indexed="81"/>
            <rFont val="Tahoma"/>
            <family val="2"/>
          </rPr>
          <t xml:space="preserve">
</t>
        </r>
      </text>
    </comment>
    <comment ref="M14" authorId="0" shapeId="0" xr:uid="{00000000-0006-0000-0000-00000B000000}">
      <text>
        <r>
          <rPr>
            <b/>
            <sz val="9"/>
            <color indexed="81"/>
            <rFont val="Tahoma"/>
            <family val="2"/>
          </rPr>
          <t xml:space="preserve">ASUETO: DIA DE LA VIRGEN DE LA LUZ
</t>
        </r>
        <r>
          <rPr>
            <sz val="9"/>
            <color indexed="81"/>
            <rFont val="Tahoma"/>
            <family val="2"/>
          </rPr>
          <t xml:space="preserve">
</t>
        </r>
      </text>
    </comment>
    <comment ref="B15" authorId="0" shapeId="0" xr:uid="{00000000-0006-0000-0000-00000C000000}">
      <text>
        <r>
          <rPr>
            <b/>
            <sz val="9"/>
            <color indexed="81"/>
            <rFont val="Tahoma"/>
            <family val="2"/>
          </rPr>
          <t>PAGO DE DIA LAS MADRES NOMINA SEMANAL</t>
        </r>
        <r>
          <rPr>
            <sz val="9"/>
            <color indexed="81"/>
            <rFont val="Tahoma"/>
            <family val="2"/>
          </rPr>
          <t xml:space="preserve">
</t>
        </r>
      </text>
    </comment>
    <comment ref="H15" authorId="0" shapeId="0" xr:uid="{00000000-0006-0000-0000-00000D000000}">
      <text>
        <r>
          <rPr>
            <b/>
            <sz val="9"/>
            <color indexed="81"/>
            <rFont val="Tahoma"/>
            <family val="2"/>
          </rPr>
          <t xml:space="preserve">ASUETO: LICENCIA CON GOCE DE SUELDO PARA MADRES TRABAJADORAS Y HRARIO ESPECIAL AL RESTO DOS HORAS Y MEDIA ANTES
</t>
        </r>
        <r>
          <rPr>
            <sz val="9"/>
            <color indexed="81"/>
            <rFont val="Tahoma"/>
            <family val="2"/>
          </rPr>
          <t xml:space="preserve">
</t>
        </r>
      </text>
    </comment>
    <comment ref="AA15" authorId="1" shapeId="0" xr:uid="{00000000-0006-0000-0000-00000E000000}">
      <text>
        <r>
          <rPr>
            <b/>
            <sz val="8"/>
            <color indexed="81"/>
            <rFont val="Arial"/>
            <family val="2"/>
          </rPr>
          <t>REINICIO DE ACTIVIDADES</t>
        </r>
        <r>
          <rPr>
            <sz val="8"/>
            <color indexed="81"/>
            <rFont val="Tahoma"/>
            <family val="2"/>
          </rPr>
          <t xml:space="preserve">
</t>
        </r>
      </text>
    </comment>
    <comment ref="S18" authorId="0" shapeId="0" xr:uid="{00000000-0006-0000-0000-00000F000000}">
      <text>
        <r>
          <rPr>
            <b/>
            <sz val="8"/>
            <color indexed="81"/>
            <rFont val="Tahoma"/>
            <family val="2"/>
          </rPr>
          <t>INICIO DE SEMANA INSTITUCIONAL  PERIODO VACACIONAL SUGERIDO</t>
        </r>
        <r>
          <rPr>
            <sz val="8"/>
            <color indexed="81"/>
            <rFont val="Tahoma"/>
            <family val="2"/>
          </rPr>
          <t xml:space="preserve">
</t>
        </r>
      </text>
    </comment>
    <comment ref="G23" authorId="3" shapeId="0" xr:uid="{5FAB6944-897A-48D4-A17D-151220404BDF}">
      <text>
        <r>
          <rPr>
            <b/>
            <sz val="9"/>
            <color indexed="81"/>
            <rFont val="Tahoma"/>
            <family val="2"/>
          </rPr>
          <t>PBL-ADMINISTRADOR:</t>
        </r>
        <r>
          <rPr>
            <sz val="9"/>
            <color indexed="81"/>
            <rFont val="Tahoma"/>
            <family val="2"/>
          </rPr>
          <t xml:space="preserve">
BODA DE HERSEN</t>
        </r>
      </text>
    </comment>
    <comment ref="R24" authorId="0" shapeId="0" xr:uid="{00000000-0006-0000-0000-000010000000}">
      <text>
        <r>
          <rPr>
            <b/>
            <sz val="8"/>
            <color indexed="81"/>
            <rFont val="Arial"/>
            <family val="2"/>
          </rPr>
          <t>ASUETO:
DÍA DE MUERTOS</t>
        </r>
        <r>
          <rPr>
            <sz val="9"/>
            <color indexed="81"/>
            <rFont val="Tahoma"/>
            <family val="2"/>
          </rPr>
          <t xml:space="preserve">
</t>
        </r>
      </text>
    </comment>
    <comment ref="X24" authorId="0" shapeId="0" xr:uid="{00000000-0006-0000-0000-000011000000}">
      <text>
        <r>
          <rPr>
            <b/>
            <sz val="9"/>
            <color indexed="81"/>
            <rFont val="Tahoma"/>
            <family val="2"/>
          </rPr>
          <t>DIA DEL SERVIDOR PUBLICO</t>
        </r>
        <r>
          <rPr>
            <sz val="9"/>
            <color indexed="81"/>
            <rFont val="Tahoma"/>
            <family val="2"/>
          </rPr>
          <t xml:space="preserve">
</t>
        </r>
      </text>
    </comment>
    <comment ref="AC24" authorId="0" shapeId="0" xr:uid="{00000000-0006-0000-0000-000012000000}">
      <text>
        <r>
          <rPr>
            <b/>
            <sz val="9"/>
            <color indexed="81"/>
            <rFont val="Tahoma"/>
            <family val="2"/>
          </rPr>
          <t xml:space="preserve">PAGO DE CAJA DE AHORRO FECHA PROBABLE
</t>
        </r>
        <r>
          <rPr>
            <sz val="9"/>
            <color indexed="81"/>
            <rFont val="Tahoma"/>
            <family val="2"/>
          </rPr>
          <t xml:space="preserve">
</t>
        </r>
      </text>
    </comment>
    <comment ref="AD24" authorId="0" shapeId="0" xr:uid="{00000000-0006-0000-0000-000013000000}">
      <text>
        <r>
          <rPr>
            <b/>
            <sz val="9"/>
            <color indexed="81"/>
            <rFont val="Tahoma"/>
            <family val="2"/>
          </rPr>
          <t>PAGO DE AGUINALDO NOMINA CATORCENAL FECHA PROBABLE</t>
        </r>
        <r>
          <rPr>
            <sz val="9"/>
            <color indexed="81"/>
            <rFont val="Tahoma"/>
            <family val="2"/>
          </rPr>
          <t xml:space="preserve">
</t>
        </r>
      </text>
    </comment>
    <comment ref="AE24" authorId="0" shapeId="0" xr:uid="{00000000-0006-0000-0000-000014000000}">
      <text>
        <r>
          <rPr>
            <b/>
            <sz val="8"/>
            <color indexed="81"/>
            <rFont val="Arial"/>
            <family val="2"/>
          </rPr>
          <t xml:space="preserve">ASUETO:
DÍA DE LA VIRGEN DE GUADALUPE
</t>
        </r>
      </text>
    </comment>
    <comment ref="D25" authorId="0" shapeId="0" xr:uid="{00000000-0006-0000-0000-000015000000}">
      <text>
        <r>
          <rPr>
            <b/>
            <sz val="8"/>
            <color indexed="81"/>
            <rFont val="Arial"/>
            <family val="2"/>
          </rPr>
          <t>ASUETO: ANIVERSARIO DE LA INDEPENDENCIA DE MÉXICO</t>
        </r>
        <r>
          <rPr>
            <sz val="9"/>
            <color indexed="81"/>
            <rFont val="Tahoma"/>
            <family val="2"/>
          </rPr>
          <t xml:space="preserve">
</t>
        </r>
      </text>
    </comment>
    <comment ref="J25" authorId="0" shapeId="0" xr:uid="{00000000-0006-0000-0000-000016000000}">
      <text>
        <r>
          <rPr>
            <b/>
            <sz val="8"/>
            <color indexed="81"/>
            <rFont val="Arial"/>
            <family val="2"/>
          </rPr>
          <t>ASUETO:
DÍA DE LA RAZA</t>
        </r>
        <r>
          <rPr>
            <sz val="8"/>
            <color indexed="81"/>
            <rFont val="Arial"/>
            <family val="2"/>
          </rPr>
          <t xml:space="preserve">
</t>
        </r>
      </text>
    </comment>
    <comment ref="Z25" authorId="0" shapeId="0" xr:uid="{00000000-0006-0000-0000-000017000000}">
      <text>
        <r>
          <rPr>
            <b/>
            <sz val="9"/>
            <color indexed="81"/>
            <rFont val="Tahoma"/>
            <family val="2"/>
          </rPr>
          <t>PAGO DE AGUINALDO NOMINA SEMANAL FECHA PROBABLE</t>
        </r>
        <r>
          <rPr>
            <sz val="9"/>
            <color indexed="81"/>
            <rFont val="Tahoma"/>
            <family val="2"/>
          </rPr>
          <t xml:space="preserve">
</t>
        </r>
      </text>
    </comment>
    <comment ref="AC25" authorId="0" shapeId="0" xr:uid="{00000000-0006-0000-0000-000018000000}">
      <text>
        <r>
          <rPr>
            <b/>
            <sz val="9"/>
            <color indexed="81"/>
            <rFont val="Tahoma"/>
            <family val="2"/>
          </rPr>
          <t xml:space="preserve">PAGO DE FONDO DE AHOORO FECHA PROBABLE
</t>
        </r>
        <r>
          <rPr>
            <sz val="9"/>
            <color indexed="81"/>
            <rFont val="Tahoma"/>
            <family val="2"/>
          </rPr>
          <t xml:space="preserve">
</t>
        </r>
      </text>
    </comment>
    <comment ref="AE25" authorId="1" shapeId="0" xr:uid="{00000000-0006-0000-0000-000019000000}">
      <text>
        <r>
          <rPr>
            <b/>
            <sz val="8"/>
            <color indexed="81"/>
            <rFont val="Arial"/>
            <family val="2"/>
          </rPr>
          <t xml:space="preserve">INICIO DE PERIODO VACACIONAL (PERIODO SUGERIDO) </t>
        </r>
      </text>
    </comment>
    <comment ref="S26" authorId="4" shapeId="0" xr:uid="{00000000-0006-0000-0000-00001A000000}">
      <text>
        <r>
          <rPr>
            <b/>
            <sz val="8"/>
            <color indexed="81"/>
            <rFont val="Arial"/>
            <family val="2"/>
          </rPr>
          <t>ASUETO:
ANIVERSARIO DE LA REVOLUCIÓN MEXICANA</t>
        </r>
      </text>
    </comment>
    <comment ref="AD26" authorId="0" shapeId="0" xr:uid="{00000000-0006-0000-0000-00001B000000}">
      <text>
        <r>
          <rPr>
            <b/>
            <sz val="8"/>
            <color indexed="81"/>
            <rFont val="Arial"/>
            <family val="2"/>
          </rPr>
          <t>ASUETO:
DÍA DE NAVIDAD.</t>
        </r>
      </text>
    </comment>
    <comment ref="F32" authorId="0" shapeId="0" xr:uid="{00000000-0006-0000-0000-00001C000000}">
      <text>
        <r>
          <rPr>
            <b/>
            <sz val="8"/>
            <color indexed="81"/>
            <rFont val="Arial"/>
            <family val="2"/>
          </rPr>
          <t>DIA DE ASUETO POR
AÑO NUEVO</t>
        </r>
      </text>
    </comment>
    <comment ref="G32" authorId="0" shapeId="0" xr:uid="{00000000-0006-0000-0000-00001D000000}">
      <text>
        <r>
          <rPr>
            <b/>
            <sz val="9"/>
            <color indexed="81"/>
            <rFont val="Tahoma"/>
            <family val="2"/>
          </rPr>
          <t xml:space="preserve">PROBABLE PAGO DE DIA DE REYES. </t>
        </r>
        <r>
          <rPr>
            <sz val="9"/>
            <color indexed="81"/>
            <rFont val="Tahoma"/>
            <family val="2"/>
          </rPr>
          <t xml:space="preserve">
</t>
        </r>
      </text>
    </comment>
    <comment ref="D33" authorId="1" shapeId="0" xr:uid="{00000000-0006-0000-0000-00001E000000}">
      <text>
        <r>
          <rPr>
            <b/>
            <sz val="8"/>
            <color indexed="81"/>
            <rFont val="Arial"/>
            <family val="2"/>
          </rPr>
          <t>REINICIO DE ACTIVIDADES</t>
        </r>
        <r>
          <rPr>
            <sz val="8"/>
            <color indexed="81"/>
            <rFont val="Tahoma"/>
            <family val="2"/>
          </rPr>
          <t xml:space="preserve">
</t>
        </r>
      </text>
    </comment>
    <comment ref="D35" authorId="0" shapeId="0" xr:uid="{00000000-0006-0000-0000-00001F000000}">
      <text>
        <r>
          <rPr>
            <b/>
            <sz val="8"/>
            <color indexed="81"/>
            <rFont val="Arial"/>
            <family val="2"/>
          </rPr>
          <t>ASUETO:
ANIVERSARIO DE LA FUNDACIÓN DE LA CIUDAD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 Maria Aguilar Dominguez</author>
  </authors>
  <commentList>
    <comment ref="B31" authorId="0" shapeId="0" xr:uid="{00000000-0006-0000-0100-000001000000}">
      <text>
        <r>
          <rPr>
            <b/>
            <sz val="9"/>
            <color indexed="81"/>
            <rFont val="Tahoma"/>
            <family val="2"/>
          </rPr>
          <t xml:space="preserve">SE requiere que EN SESION DEl H AYUNTAMIENTO se apruebe la modificación al Plan de Previsión
 </t>
        </r>
      </text>
    </comment>
  </commentList>
</comments>
</file>

<file path=xl/sharedStrings.xml><?xml version="1.0" encoding="utf-8"?>
<sst xmlns="http://schemas.openxmlformats.org/spreadsheetml/2006/main" count="172" uniqueCount="77">
  <si>
    <t>FEBRERO</t>
  </si>
  <si>
    <t>MARZO</t>
  </si>
  <si>
    <t>ABRIL</t>
  </si>
  <si>
    <t>D</t>
  </si>
  <si>
    <t>L</t>
  </si>
  <si>
    <t>M</t>
  </si>
  <si>
    <t>J</t>
  </si>
  <si>
    <t>V</t>
  </si>
  <si>
    <t>S</t>
  </si>
  <si>
    <t>MAYO</t>
  </si>
  <si>
    <t>JUNIO</t>
  </si>
  <si>
    <t>JULIO</t>
  </si>
  <si>
    <t>AGOSTO</t>
  </si>
  <si>
    <t>SEPTIEMBRE</t>
  </si>
  <si>
    <t>OCTUBRE</t>
  </si>
  <si>
    <t>NOVIEMBRE</t>
  </si>
  <si>
    <t>DICIEMBRE</t>
  </si>
  <si>
    <t>PAGO DE NÓMINA CATORCENAL</t>
  </si>
  <si>
    <t>PAGO DE NÓMINA SEMANAL</t>
  </si>
  <si>
    <t>DÍAS FESTIVOS DE ACUERDO CON EL PLAN DE PREVISION SOCIAL (ASUETO)</t>
  </si>
  <si>
    <t>NUMERO DE PERIODO</t>
  </si>
  <si>
    <t xml:space="preserve">ENERO </t>
  </si>
  <si>
    <t>I.</t>
  </si>
  <si>
    <t>El 1ro. de Enero;</t>
  </si>
  <si>
    <t>II.</t>
  </si>
  <si>
    <t>El primer lunes de Febrero en conmemoración al 05 de Febrero;</t>
  </si>
  <si>
    <t>III.</t>
  </si>
  <si>
    <t>El tercer lunes de Marzo, en conmemoración del 21 de Marzo;</t>
  </si>
  <si>
    <t>IV.</t>
  </si>
  <si>
    <t>El 1ro. de Mayo;</t>
  </si>
  <si>
    <t>V.</t>
  </si>
  <si>
    <t>El 16 de Septiembre;</t>
  </si>
  <si>
    <t>VI.</t>
  </si>
  <si>
    <t>El tercer lunes de Noviembre en conmemoración del 20 de Noviembre;</t>
  </si>
  <si>
    <t>VII.</t>
  </si>
  <si>
    <t>VIII.</t>
  </si>
  <si>
    <t>El 25 de Diciembre; y,</t>
  </si>
  <si>
    <t>IX</t>
  </si>
  <si>
    <t>Los días que señale el calendario oficial.</t>
  </si>
  <si>
    <t>El 20 de Enero;</t>
  </si>
  <si>
    <t>El día en que se festeja en el Municipio a la Virgen de la Luz;</t>
  </si>
  <si>
    <t xml:space="preserve">El 12 de Octubre; </t>
  </si>
  <si>
    <t>El 2 de Noviembre; y,</t>
  </si>
  <si>
    <t>El 12 de Diciembre.</t>
  </si>
  <si>
    <r>
      <t>FECHA FIN PERIODO</t>
    </r>
    <r>
      <rPr>
        <b/>
        <sz val="9"/>
        <color theme="0"/>
        <rFont val="Linux Libertine"/>
      </rPr>
      <t xml:space="preserve"> (DOMINGO)</t>
    </r>
  </si>
  <si>
    <t>DÍAS DE ASUETO DE ACUERDO A LEY</t>
  </si>
  <si>
    <r>
      <t>FECHA FIN PERIODO</t>
    </r>
    <r>
      <rPr>
        <b/>
        <sz val="9"/>
        <color theme="0"/>
        <rFont val="Linux Libertine"/>
      </rPr>
      <t xml:space="preserve"> (JUEVES)</t>
    </r>
  </si>
  <si>
    <t>DÍAS SANTOS DE ACUERDO CON EL PLAN DE PREVISION SOCIAL (ASUETO)</t>
  </si>
  <si>
    <t xml:space="preserve">PAGO DE NÓMINA DE:  DÍA DE REYES/ DÍA DE LA MADRE                  </t>
  </si>
  <si>
    <t xml:space="preserve">INICIO DE PERIODO VACACIONAL/ REINICIO DE ACTIVIDADES </t>
  </si>
  <si>
    <t>El jueves y viernes de la semana santa;</t>
  </si>
  <si>
    <t>Artículo 36.-  Se entenderán como días de descanso obligatorio los días oficiales establecidos en el artículo 24 de la Ley del Trabajo de los servidores públicos al servicio del Estado y los Municipios, a saber:</t>
  </si>
  <si>
    <t>CAPITULO IX                                                                                                                                                                                              DIAS DE DESCANSO LEGAL, OBLIGATORIO Y DE LOS PERIODOS VACACIONALES</t>
  </si>
  <si>
    <t xml:space="preserve">Artículo 37.-  La administración pública municipal considera como días inhábiles, además de los señalados en el punto anterior, los siguientes: </t>
  </si>
  <si>
    <t xml:space="preserve">PLAN DE PREVISIÓN SOCIAL DE LA ADMINISTRACIÓN PÚBLICA CENTRALIZADA DEL MUNICIPIO DE LEÓN, GUANAJUATO. </t>
  </si>
  <si>
    <t>PAGO DE NÓMINA/AGUINALDO (FECHA PROBABLE)</t>
  </si>
  <si>
    <t>* 1 DE OCTUBRE TRANSMISION DE PODER EJECUTIVO FEDERAL</t>
  </si>
  <si>
    <r>
      <t xml:space="preserve">* 1ro. de </t>
    </r>
    <r>
      <rPr>
        <strike/>
        <sz val="10"/>
        <color theme="1"/>
        <rFont val="Arial"/>
        <family val="2"/>
      </rPr>
      <t>Diciembre</t>
    </r>
    <r>
      <rPr>
        <sz val="10"/>
        <color theme="1"/>
        <rFont val="Arial"/>
        <family val="2"/>
      </rPr>
      <t xml:space="preserve"> de cada 6 años cuando corresponda a la transmisión del poder ejecutivo federal;</t>
    </r>
  </si>
  <si>
    <r>
      <t xml:space="preserve">FECHA INICIO PERIODO </t>
    </r>
    <r>
      <rPr>
        <b/>
        <sz val="9"/>
        <color theme="0"/>
        <rFont val="Linux Libertine"/>
      </rPr>
      <t>(VIERNES)</t>
    </r>
  </si>
  <si>
    <r>
      <t xml:space="preserve">FECHA INICIO PERIODO </t>
    </r>
    <r>
      <rPr>
        <b/>
        <sz val="9"/>
        <color theme="0"/>
        <rFont val="Linux Libertine"/>
      </rPr>
      <t>(LUNES)</t>
    </r>
  </si>
  <si>
    <t>NÓMINA CATORCENAL 2025</t>
  </si>
  <si>
    <t>NOMINA SEMANAL 2025</t>
  </si>
  <si>
    <t>PERÍODO VACACIONAL SUGERIDO/ PERIODO VACACIONAL DICIEMBRE</t>
  </si>
  <si>
    <t>Periodo vacacional</t>
  </si>
  <si>
    <t>Artículo 38. Los periodos vacacionales, para el disfrute de los servidores públicos se establecen de la manera siguiente:</t>
  </si>
  <si>
    <t xml:space="preserve">a) </t>
  </si>
  <si>
    <t>Un periodo vacacional de cinco días hábiles la última semana del mes de julio;</t>
  </si>
  <si>
    <t xml:space="preserve">b) </t>
  </si>
  <si>
    <t>Un periodo en el mes de diciembre de diez días hábiles debiendo incluir como término de estas el 6 de enero del año siguiente, y</t>
  </si>
  <si>
    <t xml:space="preserve">c) </t>
  </si>
  <si>
    <t>Los días restantes podrán ser disfrutados a solicitud del servidor público y conforme a las necesidades del servicio proporcionado por las Dependencias.</t>
  </si>
  <si>
    <t>ENERO 2026</t>
  </si>
  <si>
    <t>CALENDARIO DE NÓMINA 2025</t>
  </si>
  <si>
    <t>PAGO DE FONDO DE AHORRO MES DE DICIEMBRE</t>
  </si>
  <si>
    <t>*Reforma  de la fracción VII del artículo 74 de la Ley Federal del Trabajo, para establecer el 1º de octubre de cada seis años como día de descanso obligatorio con motivo de la transmisión del Poder Ejecutivo Federal, en lugar del 1º de diciembre.</t>
  </si>
  <si>
    <t>HORARIO ESPECIAL DE ACUERDO AL PLAN DE PREVISIÓN SOCIAL:                      
  10 DE MAYO Y 8 DE NOVIEMBRE</t>
  </si>
  <si>
    <t>PAGO DE CAJA DE AHORRO MES DE DICIEMBRE (FECHA PROBABLE)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</si>
</sst>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4">
    <font>
      <sz val="11"/>
      <color theme="1"/>
      <name val="Calibri"/>
      <family val="2"/>
      <scheme val="minor"/>
    </font>
    <font>
      <sz val="11"/>
      <color theme="1"/>
      <name val="Linux Libertine Display Capital"/>
    </font>
    <font>
      <b/>
      <sz val="11"/>
      <color theme="0"/>
      <name val="Linux Libertine Display Capital"/>
    </font>
    <font>
      <sz val="11"/>
      <name val="Linux Libertine Display Capital"/>
    </font>
    <font>
      <sz val="9"/>
      <color theme="1"/>
      <name val="Linux Libertine Display Capital"/>
    </font>
    <font>
      <sz val="14"/>
      <color theme="1"/>
      <name val="Linux Libertine Display Capital"/>
    </font>
    <font>
      <b/>
      <sz val="14"/>
      <color theme="0"/>
      <name val="Linux Libertine Display Capital"/>
    </font>
    <font>
      <b/>
      <sz val="14"/>
      <color theme="1"/>
      <name val="Linux Libertine Display Capital"/>
    </font>
    <font>
      <sz val="11"/>
      <color theme="1"/>
      <name val="Linux Libertine"/>
    </font>
    <font>
      <b/>
      <sz val="20"/>
      <color theme="1"/>
      <name val="Linux Libertine"/>
    </font>
    <font>
      <b/>
      <sz val="11"/>
      <color theme="0"/>
      <name val="Linux Libertine"/>
    </font>
    <font>
      <b/>
      <sz val="11"/>
      <color theme="1"/>
      <name val="Linux Libertine"/>
    </font>
    <font>
      <sz val="11"/>
      <color theme="1"/>
      <name val="Linux Libertine Capitals"/>
    </font>
    <font>
      <b/>
      <sz val="11"/>
      <color theme="1"/>
      <name val="Calibri"/>
      <family val="2"/>
      <scheme val="minor"/>
    </font>
    <font>
      <sz val="11"/>
      <name val="Calibri"/>
      <family val="2"/>
      <scheme val="minor"/>
    </font>
    <font>
      <sz val="8"/>
      <color indexed="81"/>
      <name val="Tahoma"/>
      <family val="2"/>
    </font>
    <font>
      <b/>
      <sz val="8"/>
      <color indexed="81"/>
      <name val="Tahoma"/>
      <family val="2"/>
    </font>
    <font>
      <b/>
      <sz val="8"/>
      <color indexed="81"/>
      <name val="Arial"/>
      <family val="2"/>
    </font>
    <font>
      <b/>
      <sz val="9"/>
      <color theme="0"/>
      <name val="Linux Libertine"/>
    </font>
    <font>
      <sz val="10"/>
      <color theme="1"/>
      <name val="Linux Libertine Display Capital"/>
    </font>
    <font>
      <b/>
      <sz val="10"/>
      <color theme="1"/>
      <name val="Arial"/>
      <family val="2"/>
    </font>
    <font>
      <sz val="10"/>
      <color theme="1"/>
      <name val="Arial"/>
      <family val="2"/>
    </font>
    <font>
      <sz val="9"/>
      <color indexed="81"/>
      <name val="Tahoma"/>
      <family val="2"/>
    </font>
    <font>
      <b/>
      <sz val="9"/>
      <color indexed="81"/>
      <name val="Tahoma"/>
      <family val="2"/>
    </font>
    <font>
      <sz val="11"/>
      <color theme="1"/>
      <name val="Calibri"/>
      <family val="2"/>
      <scheme val="minor"/>
    </font>
    <font>
      <b/>
      <sz val="19"/>
      <color theme="0"/>
      <name val="Calisto MT"/>
      <family val="1"/>
    </font>
    <font>
      <sz val="19"/>
      <color theme="0"/>
      <name val="Calisto MT"/>
      <family val="1"/>
    </font>
    <font>
      <b/>
      <sz val="14"/>
      <color theme="0"/>
      <name val="Calisto MT"/>
      <family val="1"/>
    </font>
    <font>
      <sz val="9"/>
      <color theme="1"/>
      <name val="Linux Libertine"/>
    </font>
    <font>
      <b/>
      <sz val="18"/>
      <color theme="1"/>
      <name val="Calisto MT"/>
      <family val="1"/>
    </font>
    <font>
      <strike/>
      <sz val="10"/>
      <color theme="1"/>
      <name val="Arial"/>
      <family val="2"/>
    </font>
    <font>
      <sz val="8"/>
      <color indexed="81"/>
      <name val="Arial"/>
      <family val="2"/>
    </font>
    <font>
      <sz val="8"/>
      <color theme="1"/>
      <name val="Calibri"/>
      <family val="2"/>
    </font>
    <font>
      <b/>
      <sz val="11"/>
      <color theme="0"/>
      <name val="Calibri"/>
      <family val="2"/>
      <scheme val="minor"/>
    </font>
  </fonts>
  <fills count="27">
    <fill>
      <patternFill patternType="none"/>
    </fill>
    <fill>
      <patternFill patternType="gray125"/>
    </fill>
    <fill>
      <patternFill patternType="lightUp"/>
    </fill>
    <fill>
      <patternFill patternType="solid">
        <fgColor theme="0"/>
        <bgColor indexed="64"/>
      </patternFill>
    </fill>
    <fill>
      <patternFill patternType="solid">
        <fgColor rgb="FF92D050"/>
        <bgColor indexed="64"/>
      </patternFill>
    </fill>
    <fill>
      <patternFill patternType="solid">
        <fgColor theme="8" tint="-0.249977111117893"/>
        <bgColor indexed="64"/>
      </patternFill>
    </fill>
    <fill>
      <patternFill patternType="solid">
        <fgColor rgb="FF002060"/>
        <bgColor indexed="64"/>
      </patternFill>
    </fill>
    <fill>
      <patternFill patternType="solid">
        <fgColor rgb="FFCC9900"/>
        <bgColor indexed="64"/>
      </patternFill>
    </fill>
    <fill>
      <patternFill patternType="solid">
        <fgColor theme="9" tint="-0.249977111117893"/>
        <bgColor indexed="64"/>
      </patternFill>
    </fill>
    <fill>
      <patternFill patternType="solid">
        <fgColor theme="5"/>
        <bgColor indexed="64"/>
      </patternFill>
    </fill>
    <fill>
      <patternFill patternType="solid">
        <fgColor rgb="FF666699"/>
        <bgColor indexed="64"/>
      </patternFill>
    </fill>
    <fill>
      <patternFill patternType="lightUp">
        <bgColor theme="8" tint="-0.249977111117893"/>
      </patternFill>
    </fill>
    <fill>
      <patternFill patternType="lightUp">
        <bgColor theme="0"/>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rgb="FF9C189F"/>
        <bgColor indexed="64"/>
      </patternFill>
    </fill>
    <fill>
      <patternFill patternType="lightUp">
        <bgColor rgb="FF9C189F"/>
      </patternFill>
    </fill>
    <fill>
      <patternFill patternType="lightUp">
        <bgColor rgb="FFFFFF00"/>
      </patternFill>
    </fill>
    <fill>
      <patternFill patternType="solid">
        <fgColor rgb="FF00B0F0"/>
        <bgColor indexed="64"/>
      </patternFill>
    </fill>
    <fill>
      <patternFill patternType="solid">
        <fgColor theme="9" tint="0.59999389629810485"/>
        <bgColor indexed="64"/>
      </patternFill>
    </fill>
    <fill>
      <patternFill patternType="solid">
        <fgColor theme="9"/>
        <bgColor indexed="64"/>
      </patternFill>
    </fill>
    <fill>
      <patternFill patternType="lightUp">
        <bgColor rgb="FFCC9900"/>
      </patternFill>
    </fill>
    <fill>
      <patternFill patternType="lightUp">
        <bgColor theme="4"/>
      </patternFill>
    </fill>
    <fill>
      <patternFill patternType="solid">
        <fgColor theme="4"/>
        <bgColor indexed="64"/>
      </patternFill>
    </fill>
    <fill>
      <patternFill patternType="solid">
        <fgColor theme="9" tint="-0.499984740745262"/>
        <bgColor indexed="64"/>
      </patternFill>
    </fill>
    <fill>
      <patternFill patternType="solid">
        <fgColor rgb="FFFF0000"/>
        <bgColor indexed="64"/>
      </patternFill>
    </fill>
  </fills>
  <borders count="3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43" fontId="24" fillId="0" borderId="0" applyFont="0" applyFill="0" applyBorder="0" applyAlignment="0" applyProtection="0"/>
  </cellStyleXfs>
  <cellXfs count="179">
    <xf numFmtId="0" fontId="0" fillId="0" borderId="0" xfId="0"/>
    <xf numFmtId="0" fontId="1" fillId="0" borderId="0" xfId="0" applyFont="1"/>
    <xf numFmtId="0" fontId="1" fillId="0" borderId="0" xfId="0" applyFont="1" applyAlignment="1">
      <alignment horizontal="center" vertical="center"/>
    </xf>
    <xf numFmtId="0" fontId="1" fillId="2" borderId="2" xfId="0" applyFont="1" applyFill="1" applyBorder="1" applyAlignment="1">
      <alignment horizontal="center" vertical="center"/>
    </xf>
    <xf numFmtId="0" fontId="1" fillId="9"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10" borderId="2" xfId="0" applyFont="1" applyFill="1" applyBorder="1" applyAlignment="1">
      <alignment horizontal="center" vertical="center"/>
    </xf>
    <xf numFmtId="0" fontId="1" fillId="3" borderId="0" xfId="0" applyFont="1" applyFill="1" applyAlignment="1">
      <alignment horizontal="center" vertical="center"/>
    </xf>
    <xf numFmtId="0" fontId="4" fillId="0" borderId="0" xfId="0" applyFont="1" applyAlignment="1">
      <alignment vertical="center"/>
    </xf>
    <xf numFmtId="0" fontId="3" fillId="0" borderId="0" xfId="0" applyFont="1"/>
    <xf numFmtId="0" fontId="4" fillId="0" borderId="0" xfId="0" applyFont="1"/>
    <xf numFmtId="0" fontId="4" fillId="0" borderId="0" xfId="0" applyFont="1" applyAlignment="1">
      <alignment horizontal="center" vertical="center"/>
    </xf>
    <xf numFmtId="0" fontId="1" fillId="5" borderId="2" xfId="0" applyFont="1" applyFill="1" applyBorder="1" applyAlignment="1">
      <alignment horizontal="center" vertical="center"/>
    </xf>
    <xf numFmtId="0" fontId="1" fillId="0" borderId="0" xfId="0" applyFont="1" applyAlignment="1">
      <alignment vertical="center"/>
    </xf>
    <xf numFmtId="0" fontId="5" fillId="0" borderId="0" xfId="0" applyFont="1"/>
    <xf numFmtId="0" fontId="7" fillId="0" borderId="0" xfId="0" applyFont="1"/>
    <xf numFmtId="0" fontId="5" fillId="0" borderId="0" xfId="0" applyFont="1" applyAlignment="1">
      <alignment horizontal="center" vertical="center"/>
    </xf>
    <xf numFmtId="0" fontId="2" fillId="8" borderId="16" xfId="0" applyFont="1" applyFill="1" applyBorder="1" applyAlignment="1">
      <alignment horizontal="center" vertical="center"/>
    </xf>
    <xf numFmtId="0" fontId="2" fillId="8" borderId="17" xfId="0" applyFont="1" applyFill="1" applyBorder="1" applyAlignment="1">
      <alignment horizontal="center" vertical="center"/>
    </xf>
    <xf numFmtId="0" fontId="2" fillId="8" borderId="18" xfId="0" applyFont="1" applyFill="1" applyBorder="1" applyAlignment="1">
      <alignment horizontal="center" vertical="center"/>
    </xf>
    <xf numFmtId="0" fontId="8" fillId="0" borderId="0" xfId="0" applyFont="1"/>
    <xf numFmtId="0" fontId="9" fillId="0" borderId="0" xfId="0" applyFont="1" applyAlignment="1">
      <alignment horizontal="center" vertical="center" wrapText="1"/>
    </xf>
    <xf numFmtId="0" fontId="8" fillId="0" borderId="0" xfId="0" applyFont="1" applyAlignment="1">
      <alignment horizontal="center"/>
    </xf>
    <xf numFmtId="0" fontId="8" fillId="0" borderId="0" xfId="0" applyFont="1" applyAlignment="1">
      <alignment vertical="center"/>
    </xf>
    <xf numFmtId="0" fontId="0" fillId="0" borderId="0" xfId="0" applyAlignment="1">
      <alignment horizontal="center" vertical="center"/>
    </xf>
    <xf numFmtId="0" fontId="1" fillId="13" borderId="2" xfId="0" applyFont="1" applyFill="1" applyBorder="1" applyAlignment="1">
      <alignment horizontal="center" vertical="center"/>
    </xf>
    <xf numFmtId="0" fontId="2" fillId="0" borderId="0" xfId="0" applyFont="1" applyAlignment="1">
      <alignment horizontal="center" vertical="center"/>
    </xf>
    <xf numFmtId="0" fontId="1" fillId="16" borderId="2" xfId="0" applyFont="1" applyFill="1" applyBorder="1" applyAlignment="1">
      <alignment horizontal="center" vertical="center"/>
    </xf>
    <xf numFmtId="0" fontId="1" fillId="14" borderId="2" xfId="0" applyFont="1" applyFill="1" applyBorder="1" applyAlignment="1">
      <alignment horizontal="center" vertical="center"/>
    </xf>
    <xf numFmtId="0" fontId="0" fillId="19" borderId="2" xfId="0" applyFill="1" applyBorder="1" applyAlignment="1">
      <alignment horizontal="center" vertical="center"/>
    </xf>
    <xf numFmtId="0" fontId="11" fillId="15" borderId="7" xfId="0" applyFont="1" applyFill="1" applyBorder="1" applyAlignment="1">
      <alignment horizontal="center"/>
    </xf>
    <xf numFmtId="0" fontId="11" fillId="15" borderId="1" xfId="0" applyFont="1" applyFill="1" applyBorder="1" applyAlignment="1">
      <alignment horizontal="center"/>
    </xf>
    <xf numFmtId="0" fontId="11" fillId="15" borderId="4" xfId="0" applyFont="1" applyFill="1" applyBorder="1" applyAlignment="1">
      <alignment horizontal="center"/>
    </xf>
    <xf numFmtId="0" fontId="19" fillId="0" borderId="0" xfId="0" applyFont="1"/>
    <xf numFmtId="0" fontId="19" fillId="0" borderId="0" xfId="0" applyFont="1" applyAlignment="1">
      <alignment horizontal="center" vertical="center"/>
    </xf>
    <xf numFmtId="0" fontId="19" fillId="0" borderId="0" xfId="0" applyFont="1" applyAlignment="1">
      <alignment vertical="center" wrapText="1"/>
    </xf>
    <xf numFmtId="0" fontId="21" fillId="0" borderId="0" xfId="0" applyFont="1"/>
    <xf numFmtId="0" fontId="0" fillId="0" borderId="8" xfId="0" applyBorder="1" applyAlignment="1">
      <alignment horizontal="center"/>
    </xf>
    <xf numFmtId="0" fontId="0" fillId="0" borderId="2" xfId="0" applyBorder="1" applyAlignment="1">
      <alignment horizontal="center"/>
    </xf>
    <xf numFmtId="0" fontId="1" fillId="3" borderId="0" xfId="0" applyFont="1" applyFill="1"/>
    <xf numFmtId="0" fontId="1" fillId="7" borderId="2" xfId="0" applyFont="1" applyFill="1" applyBorder="1" applyAlignment="1">
      <alignment horizontal="center" vertical="center"/>
    </xf>
    <xf numFmtId="0" fontId="21" fillId="20" borderId="24" xfId="0" applyFont="1" applyFill="1" applyBorder="1"/>
    <xf numFmtId="0" fontId="1" fillId="21" borderId="2" xfId="0" applyFont="1" applyFill="1" applyBorder="1"/>
    <xf numFmtId="0" fontId="0" fillId="2" borderId="2" xfId="0" applyFill="1" applyBorder="1" applyAlignment="1">
      <alignment horizontal="center"/>
    </xf>
    <xf numFmtId="0" fontId="1" fillId="24" borderId="2" xfId="0" applyFont="1" applyFill="1" applyBorder="1" applyAlignment="1">
      <alignment horizontal="center" vertical="center"/>
    </xf>
    <xf numFmtId="0" fontId="1" fillId="0" borderId="0" xfId="0" applyFont="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7" borderId="1" xfId="0" applyFill="1" applyBorder="1" applyAlignment="1">
      <alignment horizontal="center"/>
    </xf>
    <xf numFmtId="0" fontId="0" fillId="5" borderId="2" xfId="0" applyFill="1" applyBorder="1" applyAlignment="1">
      <alignment horizontal="center"/>
    </xf>
    <xf numFmtId="0" fontId="0" fillId="17" borderId="2" xfId="0" applyFill="1" applyBorder="1" applyAlignment="1">
      <alignment horizontal="center"/>
    </xf>
    <xf numFmtId="0" fontId="0" fillId="14" borderId="2" xfId="0" applyFill="1" applyBorder="1" applyAlignment="1">
      <alignment horizontal="center"/>
    </xf>
    <xf numFmtId="0" fontId="0" fillId="7"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3" borderId="0" xfId="0" applyFill="1" applyAlignment="1">
      <alignment horizontal="center"/>
    </xf>
    <xf numFmtId="0" fontId="14" fillId="0" borderId="8" xfId="0" applyFont="1" applyBorder="1" applyAlignment="1">
      <alignment horizontal="center"/>
    </xf>
    <xf numFmtId="0" fontId="0" fillId="3" borderId="2" xfId="0"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1" fillId="3" borderId="0" xfId="0" applyFont="1" applyFill="1" applyAlignment="1">
      <alignment horizontal="center"/>
    </xf>
    <xf numFmtId="0" fontId="13" fillId="11" borderId="8" xfId="0" applyFont="1" applyFill="1" applyBorder="1" applyAlignment="1">
      <alignment horizontal="center"/>
    </xf>
    <xf numFmtId="0" fontId="0" fillId="12" borderId="9" xfId="0" applyFill="1" applyBorder="1" applyAlignment="1">
      <alignment horizontal="center"/>
    </xf>
    <xf numFmtId="0" fontId="19" fillId="0" borderId="0" xfId="0" applyFont="1" applyAlignment="1">
      <alignment horizontal="left" vertical="center" wrapText="1"/>
    </xf>
    <xf numFmtId="0" fontId="0" fillId="7" borderId="1" xfId="0" applyFill="1" applyBorder="1" applyAlignment="1">
      <alignment horizontal="left" vertical="top"/>
    </xf>
    <xf numFmtId="0" fontId="19" fillId="0" borderId="0" xfId="0" applyFont="1" applyAlignment="1">
      <alignment vertical="top" wrapText="1"/>
    </xf>
    <xf numFmtId="0" fontId="0" fillId="3" borderId="7" xfId="0" applyFill="1" applyBorder="1" applyAlignment="1">
      <alignment horizontal="center"/>
    </xf>
    <xf numFmtId="0" fontId="0" fillId="9" borderId="2" xfId="0" applyFill="1" applyBorder="1" applyAlignment="1">
      <alignment horizontal="center"/>
    </xf>
    <xf numFmtId="0" fontId="0" fillId="9" borderId="8" xfId="0" applyFill="1" applyBorder="1" applyAlignment="1">
      <alignment horizontal="center"/>
    </xf>
    <xf numFmtId="0" fontId="0" fillId="9" borderId="5" xfId="0" applyFill="1" applyBorder="1" applyAlignment="1">
      <alignment horizontal="center"/>
    </xf>
    <xf numFmtId="15" fontId="12" fillId="0" borderId="8" xfId="0" applyNumberFormat="1" applyFont="1" applyBorder="1" applyAlignment="1">
      <alignment horizontal="center"/>
    </xf>
    <xf numFmtId="15" fontId="12" fillId="0" borderId="3" xfId="0" applyNumberFormat="1" applyFont="1" applyBorder="1" applyAlignment="1">
      <alignment horizontal="center"/>
    </xf>
    <xf numFmtId="15" fontId="12" fillId="0" borderId="2" xfId="0" applyNumberFormat="1" applyFont="1" applyBorder="1" applyAlignment="1">
      <alignment horizontal="center"/>
    </xf>
    <xf numFmtId="15" fontId="12" fillId="0" borderId="5" xfId="0" applyNumberFormat="1" applyFont="1" applyBorder="1" applyAlignment="1">
      <alignment horizontal="center"/>
    </xf>
    <xf numFmtId="15" fontId="12" fillId="0" borderId="6" xfId="0" applyNumberFormat="1" applyFont="1" applyBorder="1" applyAlignment="1">
      <alignment horizontal="center"/>
    </xf>
    <xf numFmtId="15" fontId="12" fillId="0" borderId="9" xfId="0" applyNumberFormat="1" applyFont="1" applyBorder="1" applyAlignment="1">
      <alignment horizontal="center"/>
    </xf>
    <xf numFmtId="164" fontId="28" fillId="0" borderId="0" xfId="1" applyNumberFormat="1" applyFont="1"/>
    <xf numFmtId="164" fontId="8" fillId="0" borderId="0" xfId="1" applyNumberFormat="1" applyFont="1"/>
    <xf numFmtId="0" fontId="0" fillId="23" borderId="8" xfId="0" applyFill="1" applyBorder="1" applyAlignment="1">
      <alignment horizontal="center"/>
    </xf>
    <xf numFmtId="0" fontId="0" fillId="2" borderId="9" xfId="0" applyFill="1" applyBorder="1" applyAlignment="1">
      <alignment horizontal="center"/>
    </xf>
    <xf numFmtId="0" fontId="0" fillId="7" borderId="7" xfId="0" applyFill="1" applyBorder="1" applyAlignment="1">
      <alignment horizontal="center"/>
    </xf>
    <xf numFmtId="0" fontId="0" fillId="22" borderId="4" xfId="0" applyFill="1" applyBorder="1" applyAlignment="1">
      <alignment horizontal="center"/>
    </xf>
    <xf numFmtId="0" fontId="0" fillId="3" borderId="8" xfId="0" applyFill="1" applyBorder="1" applyAlignment="1">
      <alignment horizontal="center"/>
    </xf>
    <xf numFmtId="0" fontId="0" fillId="22" borderId="1" xfId="0" applyFill="1" applyBorder="1" applyAlignment="1">
      <alignment horizontal="center"/>
    </xf>
    <xf numFmtId="15" fontId="12" fillId="0" borderId="8" xfId="0" quotePrefix="1" applyNumberFormat="1" applyFont="1" applyBorder="1" applyAlignment="1">
      <alignment horizontal="center"/>
    </xf>
    <xf numFmtId="0" fontId="0" fillId="2" borderId="8" xfId="0" applyFill="1" applyBorder="1" applyAlignment="1">
      <alignment horizontal="center"/>
    </xf>
    <xf numFmtId="0" fontId="0" fillId="4" borderId="29" xfId="0" applyFill="1" applyBorder="1" applyAlignment="1">
      <alignment horizontal="center"/>
    </xf>
    <xf numFmtId="0" fontId="1" fillId="5" borderId="2" xfId="0" applyFont="1" applyFill="1" applyBorder="1"/>
    <xf numFmtId="0" fontId="30" fillId="0" borderId="0" xfId="0" applyFont="1"/>
    <xf numFmtId="15" fontId="12" fillId="0" borderId="30" xfId="0" applyNumberFormat="1" applyFont="1" applyBorder="1" applyAlignment="1">
      <alignment horizontal="center"/>
    </xf>
    <xf numFmtId="15" fontId="12" fillId="0" borderId="31" xfId="0" applyNumberFormat="1" applyFont="1" applyBorder="1" applyAlignment="1">
      <alignment horizontal="center"/>
    </xf>
    <xf numFmtId="15" fontId="12" fillId="0" borderId="33" xfId="0" applyNumberFormat="1" applyFont="1" applyBorder="1" applyAlignment="1">
      <alignment horizontal="center"/>
    </xf>
    <xf numFmtId="0" fontId="10" fillId="6" borderId="32" xfId="0" applyFont="1" applyFill="1" applyBorder="1" applyAlignment="1">
      <alignment horizontal="center" vertical="center" wrapText="1"/>
    </xf>
    <xf numFmtId="15" fontId="12" fillId="0" borderId="34" xfId="0" applyNumberFormat="1" applyFont="1" applyBorder="1" applyAlignment="1">
      <alignment horizontal="center"/>
    </xf>
    <xf numFmtId="0" fontId="14" fillId="5" borderId="8" xfId="0" applyFont="1" applyFill="1" applyBorder="1" applyAlignment="1">
      <alignment horizontal="left"/>
    </xf>
    <xf numFmtId="0" fontId="2" fillId="8" borderId="10"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12" xfId="0" applyFont="1" applyFill="1" applyBorder="1" applyAlignment="1">
      <alignment horizontal="center" vertical="center"/>
    </xf>
    <xf numFmtId="0" fontId="21" fillId="0" borderId="0" xfId="0" applyFont="1" applyAlignment="1">
      <alignment vertical="center"/>
    </xf>
    <xf numFmtId="0" fontId="21" fillId="20" borderId="26" xfId="0" applyFont="1" applyFill="1" applyBorder="1" applyAlignment="1">
      <alignment vertical="center"/>
    </xf>
    <xf numFmtId="0" fontId="21" fillId="20" borderId="24" xfId="0" applyFont="1" applyFill="1" applyBorder="1" applyAlignment="1">
      <alignment vertical="center"/>
    </xf>
    <xf numFmtId="0" fontId="0" fillId="4" borderId="8" xfId="0" applyFill="1"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32" fillId="0" borderId="6" xfId="0" applyFont="1" applyBorder="1" applyAlignment="1">
      <alignment horizontal="center"/>
    </xf>
    <xf numFmtId="0" fontId="32" fillId="0" borderId="0" xfId="0" applyFont="1"/>
    <xf numFmtId="0" fontId="0" fillId="18" borderId="5" xfId="0" applyFill="1" applyBorder="1" applyAlignment="1">
      <alignment horizontal="center"/>
    </xf>
    <xf numFmtId="0" fontId="0" fillId="2" borderId="5" xfId="0" applyFill="1" applyBorder="1" applyAlignment="1">
      <alignment horizontal="center"/>
    </xf>
    <xf numFmtId="0" fontId="0" fillId="2" borderId="3" xfId="0" applyFill="1" applyBorder="1" applyAlignment="1">
      <alignment horizontal="center"/>
    </xf>
    <xf numFmtId="0" fontId="0" fillId="9" borderId="2" xfId="0" applyFill="1" applyBorder="1" applyAlignment="1">
      <alignment horizontal="center" vertical="top"/>
    </xf>
    <xf numFmtId="0" fontId="0" fillId="4" borderId="3" xfId="0" applyFill="1" applyBorder="1" applyAlignment="1">
      <alignment horizontal="center"/>
    </xf>
    <xf numFmtId="0" fontId="0" fillId="13" borderId="3" xfId="0" applyFill="1" applyBorder="1" applyAlignment="1">
      <alignment horizontal="center"/>
    </xf>
    <xf numFmtId="0" fontId="0" fillId="5" borderId="2" xfId="0" applyFill="1" applyBorder="1" applyAlignment="1">
      <alignment horizontal="left"/>
    </xf>
    <xf numFmtId="0" fontId="1" fillId="21" borderId="2" xfId="0" applyFont="1" applyFill="1" applyBorder="1" applyAlignment="1">
      <alignment horizontal="center"/>
    </xf>
    <xf numFmtId="0" fontId="33" fillId="26" borderId="8" xfId="0" applyFont="1" applyFill="1" applyBorder="1" applyAlignment="1">
      <alignment horizontal="center"/>
    </xf>
    <xf numFmtId="0" fontId="19" fillId="0" borderId="0" xfId="0" applyFont="1" applyAlignment="1">
      <alignment horizontal="left"/>
    </xf>
    <xf numFmtId="0" fontId="19" fillId="0" borderId="19" xfId="0" applyFont="1" applyBorder="1" applyAlignment="1">
      <alignment vertical="center"/>
    </xf>
    <xf numFmtId="0" fontId="19" fillId="0" borderId="0" xfId="0" applyFont="1" applyAlignment="1">
      <alignment vertical="center"/>
    </xf>
    <xf numFmtId="0" fontId="19" fillId="0" borderId="19" xfId="0" applyFont="1" applyBorder="1" applyAlignment="1">
      <alignment horizontal="left" vertical="center"/>
    </xf>
    <xf numFmtId="0" fontId="19" fillId="0" borderId="0" xfId="0" applyFont="1" applyAlignment="1">
      <alignment horizontal="left" vertical="center"/>
    </xf>
    <xf numFmtId="0" fontId="19" fillId="0" borderId="19" xfId="0" applyFont="1" applyBorder="1" applyAlignment="1">
      <alignment horizontal="left" vertical="top" wrapText="1"/>
    </xf>
    <xf numFmtId="0" fontId="19" fillId="0" borderId="0" xfId="0" applyFont="1" applyAlignment="1">
      <alignment horizontal="left" vertical="top" wrapText="1"/>
    </xf>
    <xf numFmtId="0" fontId="19" fillId="0" borderId="20" xfId="0" applyFont="1" applyBorder="1" applyAlignment="1">
      <alignment horizontal="left" vertical="top" wrapText="1"/>
    </xf>
    <xf numFmtId="0" fontId="19" fillId="0" borderId="0" xfId="0" applyFont="1" applyAlignment="1">
      <alignment vertical="center" wrapText="1"/>
    </xf>
    <xf numFmtId="0" fontId="19" fillId="0" borderId="20" xfId="0" applyFont="1" applyBorder="1" applyAlignment="1">
      <alignment vertical="center" wrapText="1"/>
    </xf>
    <xf numFmtId="0" fontId="19" fillId="0" borderId="19" xfId="0" applyFont="1" applyBorder="1" applyAlignment="1">
      <alignment horizontal="left"/>
    </xf>
    <xf numFmtId="0" fontId="19" fillId="0" borderId="0" xfId="0" applyFont="1" applyAlignment="1">
      <alignment horizontal="left" vertical="center" wrapText="1"/>
    </xf>
    <xf numFmtId="0" fontId="19" fillId="0" borderId="19" xfId="0" applyFont="1" applyBorder="1" applyAlignment="1">
      <alignment horizontal="left" vertical="center" wrapText="1"/>
    </xf>
    <xf numFmtId="0" fontId="19" fillId="0" borderId="20" xfId="0" applyFont="1" applyBorder="1" applyAlignment="1">
      <alignment horizontal="left" vertical="center" wrapText="1"/>
    </xf>
    <xf numFmtId="0" fontId="6" fillId="0" borderId="0" xfId="0" applyFont="1" applyAlignment="1">
      <alignment horizontal="center" vertical="center"/>
    </xf>
    <xf numFmtId="0" fontId="27" fillId="6" borderId="13" xfId="0" applyFont="1" applyFill="1" applyBorder="1" applyAlignment="1">
      <alignment horizontal="center" vertical="center"/>
    </xf>
    <xf numFmtId="0" fontId="27" fillId="6" borderId="14" xfId="0" applyFont="1" applyFill="1" applyBorder="1" applyAlignment="1">
      <alignment horizontal="center" vertical="center"/>
    </xf>
    <xf numFmtId="0" fontId="27" fillId="6" borderId="15" xfId="0" applyFont="1" applyFill="1" applyBorder="1" applyAlignment="1">
      <alignment horizontal="center" vertical="center"/>
    </xf>
    <xf numFmtId="49" fontId="27" fillId="6" borderId="13" xfId="0" quotePrefix="1" applyNumberFormat="1" applyFont="1" applyFill="1" applyBorder="1" applyAlignment="1">
      <alignment horizontal="center" vertical="center"/>
    </xf>
    <xf numFmtId="49" fontId="27" fillId="6" borderId="14" xfId="0" applyNumberFormat="1" applyFont="1" applyFill="1" applyBorder="1" applyAlignment="1">
      <alignment horizontal="center" vertical="center"/>
    </xf>
    <xf numFmtId="49" fontId="27" fillId="6" borderId="15" xfId="0" applyNumberFormat="1" applyFont="1" applyFill="1" applyBorder="1" applyAlignment="1">
      <alignment horizontal="center" vertical="center"/>
    </xf>
    <xf numFmtId="0" fontId="25" fillId="25" borderId="13" xfId="0" applyFont="1" applyFill="1" applyBorder="1" applyAlignment="1">
      <alignment horizontal="center" vertical="center"/>
    </xf>
    <xf numFmtId="0" fontId="26" fillId="25" borderId="14" xfId="0" applyFont="1" applyFill="1" applyBorder="1" applyAlignment="1">
      <alignment horizontal="center" vertical="center"/>
    </xf>
    <xf numFmtId="0" fontId="26" fillId="25" borderId="15" xfId="0" applyFont="1" applyFill="1" applyBorder="1" applyAlignment="1">
      <alignment horizontal="center" vertical="center"/>
    </xf>
    <xf numFmtId="0" fontId="27" fillId="6" borderId="13" xfId="0" quotePrefix="1" applyFont="1" applyFill="1" applyBorder="1" applyAlignment="1">
      <alignment horizontal="center" vertical="center"/>
    </xf>
    <xf numFmtId="0" fontId="27" fillId="6" borderId="10" xfId="0" applyFont="1" applyFill="1" applyBorder="1" applyAlignment="1">
      <alignment horizontal="center" vertical="center"/>
    </xf>
    <xf numFmtId="0" fontId="27" fillId="6" borderId="11" xfId="0" applyFont="1" applyFill="1" applyBorder="1" applyAlignment="1">
      <alignment horizontal="center" vertical="center"/>
    </xf>
    <xf numFmtId="0" fontId="27" fillId="6" borderId="12" xfId="0" applyFont="1" applyFill="1" applyBorder="1" applyAlignment="1">
      <alignment horizontal="center" vertical="center"/>
    </xf>
    <xf numFmtId="0" fontId="21" fillId="20" borderId="13" xfId="0" applyFont="1" applyFill="1" applyBorder="1" applyAlignment="1">
      <alignment horizontal="left" vertical="center" wrapText="1"/>
    </xf>
    <xf numFmtId="0" fontId="21" fillId="20" borderId="14" xfId="0" applyFont="1" applyFill="1" applyBorder="1" applyAlignment="1">
      <alignment horizontal="left" vertical="center" wrapText="1"/>
    </xf>
    <xf numFmtId="0" fontId="21" fillId="20" borderId="15" xfId="0" applyFont="1" applyFill="1" applyBorder="1" applyAlignment="1">
      <alignment horizontal="left" vertical="center" wrapText="1"/>
    </xf>
    <xf numFmtId="0" fontId="21" fillId="20" borderId="0" xfId="0" applyFont="1" applyFill="1" applyAlignment="1">
      <alignment vertical="center" wrapText="1"/>
    </xf>
    <xf numFmtId="0" fontId="21" fillId="20" borderId="25" xfId="0" applyFont="1" applyFill="1" applyBorder="1" applyAlignment="1">
      <alignment vertical="center" wrapText="1"/>
    </xf>
    <xf numFmtId="0" fontId="21" fillId="20" borderId="27" xfId="0" applyFont="1" applyFill="1" applyBorder="1" applyAlignment="1">
      <alignment vertical="center" wrapText="1"/>
    </xf>
    <xf numFmtId="0" fontId="21" fillId="20" borderId="28" xfId="0" applyFont="1" applyFill="1" applyBorder="1" applyAlignment="1">
      <alignment vertical="center" wrapText="1"/>
    </xf>
    <xf numFmtId="0" fontId="20" fillId="20" borderId="24" xfId="0" applyFont="1" applyFill="1" applyBorder="1" applyAlignment="1">
      <alignment horizontal="right"/>
    </xf>
    <xf numFmtId="0" fontId="20" fillId="20" borderId="0" xfId="0" applyFont="1" applyFill="1" applyAlignment="1">
      <alignment horizontal="right"/>
    </xf>
    <xf numFmtId="0" fontId="20" fillId="20" borderId="25" xfId="0" applyFont="1" applyFill="1" applyBorder="1" applyAlignment="1">
      <alignment horizontal="right"/>
    </xf>
    <xf numFmtId="0" fontId="21" fillId="20" borderId="24" xfId="0" applyFont="1" applyFill="1" applyBorder="1" applyAlignment="1">
      <alignment horizontal="left" vertical="center" wrapText="1"/>
    </xf>
    <xf numFmtId="0" fontId="21" fillId="20" borderId="0" xfId="0" applyFont="1" applyFill="1" applyAlignment="1">
      <alignment horizontal="left" vertical="center" wrapText="1"/>
    </xf>
    <xf numFmtId="0" fontId="21" fillId="20" borderId="25" xfId="0" applyFont="1" applyFill="1" applyBorder="1" applyAlignment="1">
      <alignment horizontal="left" vertical="center" wrapText="1"/>
    </xf>
    <xf numFmtId="0" fontId="21" fillId="20" borderId="0" xfId="0" applyFont="1" applyFill="1" applyAlignment="1">
      <alignment vertical="center"/>
    </xf>
    <xf numFmtId="0" fontId="21" fillId="20" borderId="25" xfId="0" applyFont="1" applyFill="1" applyBorder="1" applyAlignment="1">
      <alignment vertical="center"/>
    </xf>
    <xf numFmtId="0" fontId="21" fillId="20" borderId="0" xfId="0" applyFont="1" applyFill="1" applyAlignment="1">
      <alignment horizontal="left"/>
    </xf>
    <xf numFmtId="0" fontId="21" fillId="20" borderId="25" xfId="0" applyFont="1" applyFill="1" applyBorder="1" applyAlignment="1">
      <alignment horizontal="left"/>
    </xf>
    <xf numFmtId="0" fontId="21" fillId="20" borderId="24" xfId="0" applyFont="1" applyFill="1" applyBorder="1" applyAlignment="1">
      <alignment horizontal="center"/>
    </xf>
    <xf numFmtId="0" fontId="21" fillId="20" borderId="0" xfId="0" applyFont="1" applyFill="1" applyAlignment="1">
      <alignment horizontal="center"/>
    </xf>
    <xf numFmtId="0" fontId="21" fillId="20" borderId="25" xfId="0" applyFont="1" applyFill="1" applyBorder="1" applyAlignment="1">
      <alignment horizontal="center"/>
    </xf>
    <xf numFmtId="0" fontId="20" fillId="20" borderId="24" xfId="0" applyFont="1" applyFill="1" applyBorder="1" applyAlignment="1">
      <alignment horizontal="center" vertical="center" wrapText="1"/>
    </xf>
    <xf numFmtId="0" fontId="20" fillId="20" borderId="0" xfId="0" applyFont="1" applyFill="1" applyAlignment="1">
      <alignment horizontal="center" vertical="center" wrapText="1"/>
    </xf>
    <xf numFmtId="0" fontId="20" fillId="20" borderId="25" xfId="0" applyFont="1" applyFill="1" applyBorder="1" applyAlignment="1">
      <alignment horizontal="center" vertical="center" wrapText="1"/>
    </xf>
    <xf numFmtId="0" fontId="21" fillId="20" borderId="24" xfId="0" applyFont="1" applyFill="1" applyBorder="1" applyAlignment="1">
      <alignment horizontal="left" wrapText="1"/>
    </xf>
    <xf numFmtId="0" fontId="21" fillId="20" borderId="0" xfId="0" applyFont="1" applyFill="1" applyAlignment="1">
      <alignment horizontal="left" wrapText="1"/>
    </xf>
    <xf numFmtId="0" fontId="21" fillId="20" borderId="25" xfId="0" applyFont="1" applyFill="1" applyBorder="1" applyAlignment="1">
      <alignment horizontal="left" wrapText="1"/>
    </xf>
    <xf numFmtId="0" fontId="20" fillId="20" borderId="21" xfId="0" applyFont="1" applyFill="1" applyBorder="1" applyAlignment="1">
      <alignment horizontal="center" vertical="center" wrapText="1"/>
    </xf>
    <xf numFmtId="0" fontId="20" fillId="20" borderId="22" xfId="0" applyFont="1" applyFill="1" applyBorder="1" applyAlignment="1">
      <alignment horizontal="center" vertical="center" wrapText="1"/>
    </xf>
    <xf numFmtId="0" fontId="20" fillId="20" borderId="23" xfId="0" applyFont="1" applyFill="1" applyBorder="1" applyAlignment="1">
      <alignment horizontal="center" vertical="center" wrapText="1"/>
    </xf>
    <xf numFmtId="0" fontId="21" fillId="20" borderId="24" xfId="0" applyFont="1" applyFill="1" applyBorder="1" applyAlignment="1">
      <alignment horizontal="left"/>
    </xf>
    <xf numFmtId="0" fontId="29" fillId="15" borderId="13" xfId="0" applyFont="1" applyFill="1" applyBorder="1" applyAlignment="1">
      <alignment horizontal="center" vertical="center" wrapText="1"/>
    </xf>
    <xf numFmtId="0" fontId="29" fillId="15" borderId="14" xfId="0" applyFont="1" applyFill="1" applyBorder="1" applyAlignment="1">
      <alignment horizontal="center" vertical="center" wrapText="1"/>
    </xf>
    <xf numFmtId="0" fontId="29" fillId="15" borderId="15" xfId="0" applyFont="1" applyFill="1" applyBorder="1" applyAlignment="1">
      <alignment horizontal="center" vertical="center" wrapText="1"/>
    </xf>
  </cellXfs>
  <cellStyles count="2">
    <cellStyle name="Millares" xfId="1" builtinId="3"/>
    <cellStyle name="Normal" xfId="0" builtinId="0"/>
  </cellStyles>
  <dxfs count="0"/>
  <tableStyles count="0" defaultTableStyle="TableStyleMedium2" defaultPivotStyle="PivotStyleLight16"/>
  <colors>
    <mruColors>
      <color rgb="FFCC9900"/>
      <color rgb="FF9C189F"/>
      <color rgb="FF666699"/>
      <color rgb="FFE23ECE"/>
      <color rgb="FF3EE6DE"/>
      <color rgb="FFE1E1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0</xdr:colOff>
      <xdr:row>13</xdr:row>
      <xdr:rowOff>0</xdr:rowOff>
    </xdr:from>
    <xdr:to>
      <xdr:col>6</xdr:col>
      <xdr:colOff>0</xdr:colOff>
      <xdr:row>13</xdr:row>
      <xdr:rowOff>187006</xdr:rowOff>
    </xdr:to>
    <xdr:sp macro="" textlink="">
      <xdr:nvSpPr>
        <xdr:cNvPr id="19" name="Triángulo rectángulo 18">
          <a:extLst>
            <a:ext uri="{FF2B5EF4-FFF2-40B4-BE49-F238E27FC236}">
              <a16:creationId xmlns:a16="http://schemas.microsoft.com/office/drawing/2014/main" id="{00000000-0008-0000-0000-000013000000}"/>
            </a:ext>
          </a:extLst>
        </xdr:cNvPr>
        <xdr:cNvSpPr/>
      </xdr:nvSpPr>
      <xdr:spPr>
        <a:xfrm flipH="1">
          <a:off x="2336800" y="3200400"/>
          <a:ext cx="355600" cy="187006"/>
        </a:xfrm>
        <a:prstGeom prst="rtTriangle">
          <a:avLst/>
        </a:prstGeom>
        <a:solidFill>
          <a:schemeClr val="accent3">
            <a:lumMod val="25000"/>
            <a:lumOff val="75000"/>
          </a:schemeClr>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ln>
                <a:solidFill>
                  <a:schemeClr val="tx1"/>
                </a:solidFill>
              </a:ln>
            </a:rPr>
            <a:t>2</a:t>
          </a:r>
        </a:p>
      </xdr:txBody>
    </xdr:sp>
    <xdr:clientData/>
  </xdr:twoCellAnchor>
  <xdr:twoCellAnchor>
    <xdr:from>
      <xdr:col>1</xdr:col>
      <xdr:colOff>0</xdr:colOff>
      <xdr:row>14</xdr:row>
      <xdr:rowOff>0</xdr:rowOff>
    </xdr:from>
    <xdr:to>
      <xdr:col>2</xdr:col>
      <xdr:colOff>0</xdr:colOff>
      <xdr:row>14</xdr:row>
      <xdr:rowOff>187006</xdr:rowOff>
    </xdr:to>
    <xdr:sp macro="" textlink="">
      <xdr:nvSpPr>
        <xdr:cNvPr id="21" name="Triángulo rectángulo 20">
          <a:extLst>
            <a:ext uri="{FF2B5EF4-FFF2-40B4-BE49-F238E27FC236}">
              <a16:creationId xmlns:a16="http://schemas.microsoft.com/office/drawing/2014/main" id="{00000000-0008-0000-0000-000015000000}"/>
            </a:ext>
          </a:extLst>
        </xdr:cNvPr>
        <xdr:cNvSpPr/>
      </xdr:nvSpPr>
      <xdr:spPr>
        <a:xfrm flipH="1">
          <a:off x="914400" y="3390900"/>
          <a:ext cx="355600" cy="187006"/>
        </a:xfrm>
        <a:prstGeom prst="rtTriangle">
          <a:avLst/>
        </a:prstGeom>
        <a:solidFill>
          <a:schemeClr val="accent3">
            <a:lumMod val="25000"/>
            <a:lumOff val="75000"/>
          </a:schemeClr>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ln>
                <a:solidFill>
                  <a:schemeClr val="tx1"/>
                </a:solidFill>
              </a:ln>
            </a:rPr>
            <a:t>2</a:t>
          </a:r>
        </a:p>
      </xdr:txBody>
    </xdr:sp>
    <xdr:clientData/>
  </xdr:twoCellAnchor>
  <xdr:twoCellAnchor>
    <xdr:from>
      <xdr:col>29</xdr:col>
      <xdr:colOff>0</xdr:colOff>
      <xdr:row>25</xdr:row>
      <xdr:rowOff>0</xdr:rowOff>
    </xdr:from>
    <xdr:to>
      <xdr:col>30</xdr:col>
      <xdr:colOff>0</xdr:colOff>
      <xdr:row>25</xdr:row>
      <xdr:rowOff>187006</xdr:rowOff>
    </xdr:to>
    <xdr:sp macro="" textlink="">
      <xdr:nvSpPr>
        <xdr:cNvPr id="8" name="Triángulo rectángulo 5">
          <a:extLst>
            <a:ext uri="{FF2B5EF4-FFF2-40B4-BE49-F238E27FC236}">
              <a16:creationId xmlns:a16="http://schemas.microsoft.com/office/drawing/2014/main" id="{00000000-0008-0000-0000-00000F000000}"/>
            </a:ext>
          </a:extLst>
        </xdr:cNvPr>
        <xdr:cNvSpPr/>
      </xdr:nvSpPr>
      <xdr:spPr>
        <a:xfrm flipH="1">
          <a:off x="10871200" y="5689600"/>
          <a:ext cx="355600" cy="187006"/>
        </a:xfrm>
        <a:prstGeom prst="rtTriangle">
          <a:avLst/>
        </a:prstGeom>
        <a:solidFill>
          <a:schemeClr val="accent2"/>
        </a:solidFill>
        <a:ln w="0" cap="flat" cmpd="sng" algn="ctr">
          <a:no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MX" sz="1100" b="0" i="0" u="none" strike="noStrike" kern="0" cap="none" spc="0" normalizeH="0" baseline="0" noProof="0">
            <a:ln>
              <a:solidFill>
                <a:sysClr val="windowText" lastClr="000000"/>
              </a:solid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s-MX" sz="1100" b="0" i="0" u="none" strike="noStrike" kern="0" cap="none" spc="0" normalizeH="0" baseline="0" noProof="0">
              <a:ln>
                <a:solidFill>
                  <a:sysClr val="windowText" lastClr="000000"/>
                </a:solidFill>
              </a:ln>
              <a:solidFill>
                <a:sysClr val="window" lastClr="FFFFFF"/>
              </a:solidFill>
              <a:effectLst/>
              <a:uLnTx/>
              <a:uFillTx/>
              <a:latin typeface="Calibri" panose="020F0502020204030204"/>
              <a:ea typeface="+mn-ea"/>
              <a:cs typeface="+mn-cs"/>
            </a:rPr>
            <a:t>122</a:t>
          </a:r>
        </a:p>
      </xdr:txBody>
    </xdr:sp>
    <xdr:clientData/>
  </xdr:twoCellAnchor>
  <xdr:twoCellAnchor>
    <xdr:from>
      <xdr:col>29</xdr:col>
      <xdr:colOff>0</xdr:colOff>
      <xdr:row>23</xdr:row>
      <xdr:rowOff>0</xdr:rowOff>
    </xdr:from>
    <xdr:to>
      <xdr:col>30</xdr:col>
      <xdr:colOff>0</xdr:colOff>
      <xdr:row>23</xdr:row>
      <xdr:rowOff>187006</xdr:rowOff>
    </xdr:to>
    <xdr:sp macro="" textlink="">
      <xdr:nvSpPr>
        <xdr:cNvPr id="5" name="Triángulo rectángulo 4">
          <a:extLst>
            <a:ext uri="{FF2B5EF4-FFF2-40B4-BE49-F238E27FC236}">
              <a16:creationId xmlns:a16="http://schemas.microsoft.com/office/drawing/2014/main" id="{00000000-0008-0000-0000-000013000000}"/>
            </a:ext>
          </a:extLst>
        </xdr:cNvPr>
        <xdr:cNvSpPr/>
      </xdr:nvSpPr>
      <xdr:spPr>
        <a:xfrm flipH="1">
          <a:off x="10871200" y="5308600"/>
          <a:ext cx="355600" cy="187006"/>
        </a:xfrm>
        <a:prstGeom prst="rtTriangle">
          <a:avLst/>
        </a:prstGeom>
        <a:solidFill>
          <a:srgbClr val="00B0F0"/>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ln>
                <a:solidFill>
                  <a:schemeClr val="tx1"/>
                </a:solidFill>
              </a:ln>
            </a:rPr>
            <a:t>2</a:t>
          </a:r>
        </a:p>
      </xdr:txBody>
    </xdr:sp>
    <xdr:clientData/>
  </xdr:twoCellAnchor>
  <xdr:twoCellAnchor>
    <xdr:from>
      <xdr:col>25</xdr:col>
      <xdr:colOff>0</xdr:colOff>
      <xdr:row>24</xdr:row>
      <xdr:rowOff>0</xdr:rowOff>
    </xdr:from>
    <xdr:to>
      <xdr:col>26</xdr:col>
      <xdr:colOff>0</xdr:colOff>
      <xdr:row>24</xdr:row>
      <xdr:rowOff>187006</xdr:rowOff>
    </xdr:to>
    <xdr:sp macro="" textlink="">
      <xdr:nvSpPr>
        <xdr:cNvPr id="6" name="Triángulo rectángulo 5">
          <a:extLst>
            <a:ext uri="{FF2B5EF4-FFF2-40B4-BE49-F238E27FC236}">
              <a16:creationId xmlns:a16="http://schemas.microsoft.com/office/drawing/2014/main" id="{00000000-0008-0000-0000-000013000000}"/>
            </a:ext>
          </a:extLst>
        </xdr:cNvPr>
        <xdr:cNvSpPr/>
      </xdr:nvSpPr>
      <xdr:spPr>
        <a:xfrm flipH="1">
          <a:off x="9448800" y="5499100"/>
          <a:ext cx="355600" cy="187006"/>
        </a:xfrm>
        <a:prstGeom prst="rtTriangle">
          <a:avLst/>
        </a:prstGeom>
        <a:solidFill>
          <a:srgbClr val="00B0F0"/>
        </a:solidFill>
        <a:ln w="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ln>
                <a:solidFill>
                  <a:schemeClr val="tx1"/>
                </a:solidFill>
              </a:ln>
            </a:rPr>
            <a:t>2</a:t>
          </a:r>
        </a:p>
      </xdr:txBody>
    </xdr:sp>
    <xdr:clientData/>
  </xdr:twoCellAnchor>
</xdr:wsDr>
</file>

<file path=xl/theme/theme1.xml><?xml version="1.0" encoding="utf-8"?>
<a:theme xmlns:a="http://schemas.openxmlformats.org/drawingml/2006/main" name="Tema de Office">
  <a:themeElements>
    <a:clrScheme name="Personalizado 1">
      <a:dk1>
        <a:sysClr val="windowText" lastClr="000000"/>
      </a:dk1>
      <a:lt1>
        <a:sysClr val="window" lastClr="FFFFFF"/>
      </a:lt1>
      <a:dk2>
        <a:srgbClr val="775F55"/>
      </a:dk2>
      <a:lt2>
        <a:srgbClr val="EBDDC3"/>
      </a:lt2>
      <a:accent1>
        <a:srgbClr val="94B6D2"/>
      </a:accent1>
      <a:accent2>
        <a:srgbClr val="DD8047"/>
      </a:accent2>
      <a:accent3>
        <a:srgbClr val="002060"/>
      </a:accent3>
      <a:accent4>
        <a:srgbClr val="D8B25C"/>
      </a:accent4>
      <a:accent5>
        <a:srgbClr val="7BA79D"/>
      </a:accent5>
      <a:accent6>
        <a:srgbClr val="968C8C"/>
      </a:accent6>
      <a:hlink>
        <a:srgbClr val="F7B615"/>
      </a:hlink>
      <a:folHlink>
        <a:srgbClr val="704404"/>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sheetPr>
  <dimension ref="B1:AY49"/>
  <sheetViews>
    <sheetView showGridLines="0" tabSelected="1" zoomScale="75" zoomScaleNormal="75" workbookViewId="0">
      <selection activeCell="G7" sqref="G7"/>
    </sheetView>
  </sheetViews>
  <sheetFormatPr baseColWidth="10" defaultColWidth="11.42578125" defaultRowHeight="14.25"/>
  <cols>
    <col min="1" max="1" width="2.28515625" style="1" customWidth="1"/>
    <col min="2" max="31" width="5.28515625" style="1" customWidth="1"/>
    <col min="32" max="32" width="7" style="1" customWidth="1"/>
    <col min="33" max="33" width="9.140625" style="1" customWidth="1"/>
    <col min="34" max="16384" width="11.42578125" style="1"/>
  </cols>
  <sheetData>
    <row r="1" spans="2:32" ht="30" customHeight="1" thickBot="1">
      <c r="B1" s="139" t="s">
        <v>72</v>
      </c>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1"/>
    </row>
    <row r="2" spans="2:32" ht="15" customHeight="1" thickBot="1">
      <c r="B2" s="2"/>
      <c r="C2" s="2"/>
      <c r="D2" s="2"/>
      <c r="E2" s="2"/>
      <c r="F2" s="2"/>
      <c r="G2" s="2"/>
      <c r="H2" s="2"/>
      <c r="J2" s="2"/>
      <c r="K2" s="2"/>
      <c r="L2" s="2"/>
      <c r="M2" s="2"/>
      <c r="N2" s="2"/>
      <c r="O2" s="2"/>
      <c r="P2" s="2"/>
      <c r="Q2" s="2"/>
      <c r="R2" s="2"/>
      <c r="S2" s="2"/>
      <c r="T2" s="2"/>
      <c r="U2" s="2"/>
      <c r="V2" s="2"/>
      <c r="W2" s="2"/>
      <c r="X2" s="2"/>
      <c r="Y2" s="2"/>
      <c r="Z2" s="2"/>
      <c r="AA2" s="2"/>
      <c r="AB2" s="2"/>
      <c r="AC2" s="2"/>
      <c r="AD2" s="2"/>
      <c r="AE2" s="2"/>
      <c r="AF2" s="2"/>
    </row>
    <row r="3" spans="2:32" s="14" customFormat="1" ht="30" customHeight="1" thickBot="1">
      <c r="B3" s="142" t="s">
        <v>21</v>
      </c>
      <c r="C3" s="134"/>
      <c r="D3" s="134"/>
      <c r="E3" s="134"/>
      <c r="F3" s="134"/>
      <c r="G3" s="134"/>
      <c r="H3" s="135"/>
      <c r="I3" s="15"/>
      <c r="J3" s="133" t="s">
        <v>0</v>
      </c>
      <c r="K3" s="134"/>
      <c r="L3" s="134"/>
      <c r="M3" s="134"/>
      <c r="N3" s="134"/>
      <c r="O3" s="134"/>
      <c r="P3" s="135"/>
      <c r="Q3" s="16"/>
      <c r="R3" s="143" t="s">
        <v>1</v>
      </c>
      <c r="S3" s="144"/>
      <c r="T3" s="144"/>
      <c r="U3" s="144"/>
      <c r="V3" s="144"/>
      <c r="W3" s="144"/>
      <c r="X3" s="145"/>
      <c r="Y3" s="16"/>
      <c r="Z3" s="143" t="s">
        <v>2</v>
      </c>
      <c r="AA3" s="144"/>
      <c r="AB3" s="144"/>
      <c r="AC3" s="144"/>
      <c r="AD3" s="144"/>
      <c r="AE3" s="144"/>
      <c r="AF3" s="145"/>
    </row>
    <row r="4" spans="2:32" ht="15.95" customHeight="1" thickBot="1">
      <c r="B4" s="17" t="s">
        <v>3</v>
      </c>
      <c r="C4" s="18" t="s">
        <v>4</v>
      </c>
      <c r="D4" s="18" t="s">
        <v>5</v>
      </c>
      <c r="E4" s="18" t="s">
        <v>5</v>
      </c>
      <c r="F4" s="18" t="s">
        <v>6</v>
      </c>
      <c r="G4" s="18" t="s">
        <v>7</v>
      </c>
      <c r="H4" s="19" t="s">
        <v>8</v>
      </c>
      <c r="J4" s="17" t="s">
        <v>3</v>
      </c>
      <c r="K4" s="18" t="s">
        <v>4</v>
      </c>
      <c r="L4" s="18" t="s">
        <v>5</v>
      </c>
      <c r="M4" s="18" t="s">
        <v>5</v>
      </c>
      <c r="N4" s="18" t="s">
        <v>6</v>
      </c>
      <c r="O4" s="18" t="s">
        <v>7</v>
      </c>
      <c r="P4" s="19" t="s">
        <v>8</v>
      </c>
      <c r="Q4" s="2"/>
      <c r="R4" s="17" t="s">
        <v>3</v>
      </c>
      <c r="S4" s="18" t="s">
        <v>4</v>
      </c>
      <c r="T4" s="18" t="s">
        <v>5</v>
      </c>
      <c r="U4" s="18" t="s">
        <v>5</v>
      </c>
      <c r="V4" s="18" t="s">
        <v>6</v>
      </c>
      <c r="W4" s="18" t="s">
        <v>7</v>
      </c>
      <c r="X4" s="19" t="s">
        <v>8</v>
      </c>
      <c r="Y4" s="2"/>
      <c r="Z4" s="17" t="s">
        <v>3</v>
      </c>
      <c r="AA4" s="18" t="s">
        <v>4</v>
      </c>
      <c r="AB4" s="18" t="s">
        <v>5</v>
      </c>
      <c r="AC4" s="18" t="s">
        <v>5</v>
      </c>
      <c r="AD4" s="18" t="s">
        <v>6</v>
      </c>
      <c r="AE4" s="18" t="s">
        <v>7</v>
      </c>
      <c r="AF4" s="19" t="s">
        <v>8</v>
      </c>
    </row>
    <row r="5" spans="2:32" ht="15" customHeight="1">
      <c r="B5" s="69"/>
      <c r="C5" s="85"/>
      <c r="D5" s="85"/>
      <c r="E5" s="64">
        <v>1</v>
      </c>
      <c r="F5" s="81">
        <v>2</v>
      </c>
      <c r="G5" s="81">
        <v>3</v>
      </c>
      <c r="H5" s="65">
        <v>4</v>
      </c>
      <c r="I5" s="45"/>
      <c r="J5" s="69"/>
      <c r="K5" s="37"/>
      <c r="L5" s="37"/>
      <c r="M5" s="37"/>
      <c r="N5" s="37"/>
      <c r="O5" s="37"/>
      <c r="P5" s="47">
        <v>1</v>
      </c>
      <c r="Q5" s="45"/>
      <c r="R5" s="69"/>
      <c r="S5" s="37"/>
      <c r="T5" s="37"/>
      <c r="U5" s="37"/>
      <c r="V5" s="37"/>
      <c r="W5" s="37"/>
      <c r="X5" s="47">
        <v>1</v>
      </c>
      <c r="Y5" s="45"/>
      <c r="Z5" s="46"/>
      <c r="AA5" s="37"/>
      <c r="AB5" s="37">
        <v>1</v>
      </c>
      <c r="AC5" s="37">
        <v>2</v>
      </c>
      <c r="AD5" s="71">
        <v>3</v>
      </c>
      <c r="AE5" s="37">
        <v>4</v>
      </c>
      <c r="AF5" s="47">
        <v>5</v>
      </c>
    </row>
    <row r="6" spans="2:32" ht="15" customHeight="1">
      <c r="B6" s="86">
        <v>5</v>
      </c>
      <c r="C6" s="43">
        <v>6</v>
      </c>
      <c r="D6" s="52">
        <v>7</v>
      </c>
      <c r="E6" s="38">
        <v>8</v>
      </c>
      <c r="F6" s="70">
        <v>9</v>
      </c>
      <c r="G6" s="38">
        <v>10</v>
      </c>
      <c r="H6" s="48">
        <v>11</v>
      </c>
      <c r="I6" s="45"/>
      <c r="J6" s="49">
        <v>2</v>
      </c>
      <c r="K6" s="50">
        <v>3</v>
      </c>
      <c r="L6" s="38">
        <v>4</v>
      </c>
      <c r="M6" s="38">
        <v>5</v>
      </c>
      <c r="N6" s="70">
        <v>6</v>
      </c>
      <c r="O6" s="38">
        <v>7</v>
      </c>
      <c r="P6" s="48">
        <v>8</v>
      </c>
      <c r="Q6" s="45"/>
      <c r="R6" s="49">
        <v>2</v>
      </c>
      <c r="S6" s="38">
        <v>3</v>
      </c>
      <c r="T6" s="38">
        <v>4</v>
      </c>
      <c r="U6" s="38">
        <v>5</v>
      </c>
      <c r="V6" s="70">
        <v>6</v>
      </c>
      <c r="W6" s="38">
        <v>7</v>
      </c>
      <c r="X6" s="48">
        <v>8</v>
      </c>
      <c r="Y6" s="45"/>
      <c r="Z6" s="49">
        <v>6</v>
      </c>
      <c r="AA6" s="38">
        <v>7</v>
      </c>
      <c r="AB6" s="38">
        <v>8</v>
      </c>
      <c r="AC6" s="38">
        <v>9</v>
      </c>
      <c r="AD6" s="38">
        <v>10</v>
      </c>
      <c r="AE6" s="38">
        <v>11</v>
      </c>
      <c r="AF6" s="48">
        <v>12</v>
      </c>
    </row>
    <row r="7" spans="2:32" ht="15" customHeight="1">
      <c r="B7" s="49">
        <v>12</v>
      </c>
      <c r="C7" s="38">
        <v>13</v>
      </c>
      <c r="D7" s="38">
        <v>14</v>
      </c>
      <c r="E7" s="38">
        <v>15</v>
      </c>
      <c r="F7" s="38">
        <v>16</v>
      </c>
      <c r="G7" s="38">
        <v>17</v>
      </c>
      <c r="H7" s="48">
        <v>18</v>
      </c>
      <c r="I7" s="45"/>
      <c r="J7" s="49">
        <v>9</v>
      </c>
      <c r="K7" s="38">
        <v>10</v>
      </c>
      <c r="L7" s="38">
        <v>11</v>
      </c>
      <c r="M7" s="38">
        <v>12</v>
      </c>
      <c r="N7" s="38">
        <v>13</v>
      </c>
      <c r="O7" s="38">
        <v>14</v>
      </c>
      <c r="P7" s="48">
        <v>15</v>
      </c>
      <c r="Q7" s="45"/>
      <c r="R7" s="49">
        <v>9</v>
      </c>
      <c r="S7" s="38">
        <v>10</v>
      </c>
      <c r="T7" s="38">
        <v>11</v>
      </c>
      <c r="U7" s="38">
        <v>12</v>
      </c>
      <c r="V7" s="38">
        <v>13</v>
      </c>
      <c r="W7" s="38">
        <v>14</v>
      </c>
      <c r="X7" s="48">
        <v>15</v>
      </c>
      <c r="Y7" s="45"/>
      <c r="Z7" s="49">
        <v>13</v>
      </c>
      <c r="AA7" s="38">
        <v>14</v>
      </c>
      <c r="AB7" s="38">
        <v>15</v>
      </c>
      <c r="AC7" s="38">
        <v>16</v>
      </c>
      <c r="AD7" s="51">
        <v>17</v>
      </c>
      <c r="AE7" s="51">
        <v>18</v>
      </c>
      <c r="AF7" s="48">
        <v>19</v>
      </c>
    </row>
    <row r="8" spans="2:32" ht="15" customHeight="1">
      <c r="B8" s="49">
        <v>19</v>
      </c>
      <c r="C8" s="89">
        <v>20</v>
      </c>
      <c r="D8" s="38">
        <v>21</v>
      </c>
      <c r="E8" s="38">
        <v>22</v>
      </c>
      <c r="F8" s="70">
        <v>23</v>
      </c>
      <c r="G8" s="38">
        <v>24</v>
      </c>
      <c r="H8" s="48">
        <v>25</v>
      </c>
      <c r="I8" s="45"/>
      <c r="J8" s="49">
        <v>16</v>
      </c>
      <c r="K8" s="38">
        <v>17</v>
      </c>
      <c r="L8" s="38">
        <v>18</v>
      </c>
      <c r="M8" s="38">
        <v>19</v>
      </c>
      <c r="N8" s="70">
        <v>20</v>
      </c>
      <c r="O8" s="38">
        <v>21</v>
      </c>
      <c r="P8" s="48">
        <v>22</v>
      </c>
      <c r="Q8" s="45"/>
      <c r="R8" s="49">
        <v>16</v>
      </c>
      <c r="S8" s="50">
        <v>17</v>
      </c>
      <c r="T8" s="38">
        <v>18</v>
      </c>
      <c r="U8" s="38">
        <v>19</v>
      </c>
      <c r="V8" s="70">
        <v>20</v>
      </c>
      <c r="W8" s="38">
        <v>21</v>
      </c>
      <c r="X8" s="48">
        <v>22</v>
      </c>
      <c r="Y8" s="45"/>
      <c r="Z8" s="49">
        <v>20</v>
      </c>
      <c r="AA8" s="38">
        <v>21</v>
      </c>
      <c r="AB8" s="38">
        <v>22</v>
      </c>
      <c r="AC8" s="38">
        <v>23</v>
      </c>
      <c r="AD8" s="38">
        <v>24</v>
      </c>
      <c r="AE8" s="38">
        <v>25</v>
      </c>
      <c r="AF8" s="48">
        <v>26</v>
      </c>
    </row>
    <row r="9" spans="2:32" ht="15" customHeight="1" thickBot="1">
      <c r="B9" s="53">
        <v>26</v>
      </c>
      <c r="C9" s="54">
        <v>27</v>
      </c>
      <c r="D9" s="54">
        <v>28</v>
      </c>
      <c r="E9" s="54">
        <v>29</v>
      </c>
      <c r="F9" s="54">
        <v>30</v>
      </c>
      <c r="G9" s="54">
        <v>31</v>
      </c>
      <c r="H9" s="55"/>
      <c r="I9" s="45"/>
      <c r="J9" s="53">
        <v>23</v>
      </c>
      <c r="K9" s="54">
        <v>24</v>
      </c>
      <c r="L9" s="54">
        <v>25</v>
      </c>
      <c r="M9" s="54">
        <v>26</v>
      </c>
      <c r="N9" s="54">
        <v>27</v>
      </c>
      <c r="O9" s="54">
        <v>28</v>
      </c>
      <c r="P9" s="55"/>
      <c r="Q9" s="45"/>
      <c r="R9" s="49">
        <v>23</v>
      </c>
      <c r="S9" s="38">
        <v>24</v>
      </c>
      <c r="T9" s="38">
        <v>25</v>
      </c>
      <c r="U9" s="38">
        <v>26</v>
      </c>
      <c r="V9" s="38">
        <v>27</v>
      </c>
      <c r="W9" s="38">
        <v>28</v>
      </c>
      <c r="X9" s="48">
        <v>29</v>
      </c>
      <c r="Y9" s="45"/>
      <c r="Z9" s="53">
        <v>27</v>
      </c>
      <c r="AA9" s="56">
        <v>28</v>
      </c>
      <c r="AB9" s="56">
        <v>29</v>
      </c>
      <c r="AC9" s="56">
        <v>30</v>
      </c>
      <c r="AD9" s="56"/>
      <c r="AE9" s="56"/>
      <c r="AF9" s="57"/>
    </row>
    <row r="10" spans="2:32" ht="15" customHeight="1" thickBot="1">
      <c r="I10" s="45"/>
      <c r="J10" s="58"/>
      <c r="K10" s="58"/>
      <c r="L10" s="58"/>
      <c r="M10" s="58"/>
      <c r="N10" s="58"/>
      <c r="O10" s="58"/>
      <c r="P10" s="58"/>
      <c r="Q10" s="45"/>
      <c r="R10" s="53">
        <v>30</v>
      </c>
      <c r="S10" s="56">
        <v>31</v>
      </c>
      <c r="T10" s="56"/>
      <c r="U10" s="56"/>
      <c r="V10" s="56"/>
      <c r="W10" s="56"/>
      <c r="X10" s="57"/>
      <c r="Y10" s="45"/>
      <c r="Z10" s="58"/>
      <c r="AA10" s="58"/>
      <c r="AB10" s="58"/>
      <c r="AC10" s="58"/>
      <c r="AD10" s="58"/>
      <c r="AE10" s="58"/>
      <c r="AF10" s="58"/>
    </row>
    <row r="11" spans="2:32" ht="15" customHeight="1" thickBot="1">
      <c r="B11" s="2"/>
      <c r="C11" s="2"/>
      <c r="D11" s="2"/>
      <c r="E11" s="2"/>
      <c r="F11" s="2"/>
      <c r="G11" s="2"/>
      <c r="H11" s="2"/>
      <c r="J11" s="2"/>
      <c r="K11" s="2"/>
      <c r="L11" s="2"/>
      <c r="M11" s="2"/>
      <c r="N11" s="2"/>
      <c r="O11" s="2"/>
      <c r="P11" s="2"/>
      <c r="Q11" s="2"/>
      <c r="R11" s="24"/>
      <c r="S11" s="24"/>
      <c r="T11" s="24"/>
      <c r="U11" s="24"/>
      <c r="V11" s="24"/>
      <c r="W11" s="24"/>
      <c r="X11" s="24"/>
      <c r="Y11" s="2"/>
      <c r="Z11" s="2"/>
      <c r="AA11" s="2"/>
      <c r="AB11" s="2"/>
      <c r="AC11" s="2"/>
      <c r="AD11" s="2"/>
      <c r="AE11" s="2"/>
      <c r="AF11" s="2"/>
    </row>
    <row r="12" spans="2:32" s="14" customFormat="1" ht="30" customHeight="1" thickBot="1">
      <c r="B12" s="133" t="s">
        <v>9</v>
      </c>
      <c r="C12" s="134"/>
      <c r="D12" s="134"/>
      <c r="E12" s="134"/>
      <c r="F12" s="134"/>
      <c r="G12" s="134"/>
      <c r="H12" s="135"/>
      <c r="J12" s="133" t="s">
        <v>10</v>
      </c>
      <c r="K12" s="134"/>
      <c r="L12" s="134"/>
      <c r="M12" s="134"/>
      <c r="N12" s="134"/>
      <c r="O12" s="134"/>
      <c r="P12" s="135"/>
      <c r="Q12" s="16"/>
      <c r="R12" s="133" t="s">
        <v>11</v>
      </c>
      <c r="S12" s="134"/>
      <c r="T12" s="134"/>
      <c r="U12" s="134"/>
      <c r="V12" s="134"/>
      <c r="W12" s="134"/>
      <c r="X12" s="135"/>
      <c r="Y12" s="16"/>
      <c r="Z12" s="133" t="s">
        <v>12</v>
      </c>
      <c r="AA12" s="134"/>
      <c r="AB12" s="134"/>
      <c r="AC12" s="134"/>
      <c r="AD12" s="134"/>
      <c r="AE12" s="134"/>
      <c r="AF12" s="135"/>
    </row>
    <row r="13" spans="2:32" ht="15.95" customHeight="1" thickBot="1">
      <c r="B13" s="17" t="s">
        <v>3</v>
      </c>
      <c r="C13" s="18" t="s">
        <v>4</v>
      </c>
      <c r="D13" s="18" t="s">
        <v>5</v>
      </c>
      <c r="E13" s="18" t="s">
        <v>5</v>
      </c>
      <c r="F13" s="18" t="s">
        <v>6</v>
      </c>
      <c r="G13" s="18" t="s">
        <v>7</v>
      </c>
      <c r="H13" s="19" t="s">
        <v>8</v>
      </c>
      <c r="J13" s="98" t="s">
        <v>3</v>
      </c>
      <c r="K13" s="99" t="s">
        <v>4</v>
      </c>
      <c r="L13" s="99" t="s">
        <v>5</v>
      </c>
      <c r="M13" s="99" t="s">
        <v>5</v>
      </c>
      <c r="N13" s="99" t="s">
        <v>6</v>
      </c>
      <c r="O13" s="99" t="s">
        <v>7</v>
      </c>
      <c r="P13" s="100" t="s">
        <v>8</v>
      </c>
      <c r="Q13" s="2"/>
      <c r="R13" s="17" t="s">
        <v>3</v>
      </c>
      <c r="S13" s="18" t="s">
        <v>4</v>
      </c>
      <c r="T13" s="18" t="s">
        <v>5</v>
      </c>
      <c r="U13" s="18" t="s">
        <v>5</v>
      </c>
      <c r="V13" s="18" t="s">
        <v>6</v>
      </c>
      <c r="W13" s="18" t="s">
        <v>7</v>
      </c>
      <c r="X13" s="19" t="s">
        <v>8</v>
      </c>
      <c r="Y13" s="2"/>
      <c r="Z13" s="17" t="s">
        <v>3</v>
      </c>
      <c r="AA13" s="18" t="s">
        <v>4</v>
      </c>
      <c r="AB13" s="18" t="s">
        <v>5</v>
      </c>
      <c r="AC13" s="18" t="s">
        <v>5</v>
      </c>
      <c r="AD13" s="18" t="s">
        <v>6</v>
      </c>
      <c r="AE13" s="18" t="s">
        <v>7</v>
      </c>
      <c r="AF13" s="19" t="s">
        <v>8</v>
      </c>
    </row>
    <row r="14" spans="2:32" ht="15" customHeight="1">
      <c r="B14" s="46"/>
      <c r="C14" s="37"/>
      <c r="D14" s="37"/>
      <c r="E14" s="37"/>
      <c r="F14" s="97">
        <v>1</v>
      </c>
      <c r="G14" s="37">
        <v>2</v>
      </c>
      <c r="H14" s="47">
        <v>3</v>
      </c>
      <c r="I14" s="45"/>
      <c r="J14" s="46">
        <v>1</v>
      </c>
      <c r="K14" s="37">
        <v>2</v>
      </c>
      <c r="L14" s="37">
        <v>3</v>
      </c>
      <c r="M14" s="104">
        <v>4</v>
      </c>
      <c r="N14" s="37">
        <v>5</v>
      </c>
      <c r="O14" s="37">
        <v>6</v>
      </c>
      <c r="P14" s="47">
        <v>7</v>
      </c>
      <c r="Q14" s="45"/>
      <c r="R14" s="46"/>
      <c r="S14" s="37"/>
      <c r="T14" s="37">
        <v>1</v>
      </c>
      <c r="U14" s="59">
        <v>2</v>
      </c>
      <c r="V14" s="59">
        <v>3</v>
      </c>
      <c r="W14" s="37">
        <v>4</v>
      </c>
      <c r="X14" s="47">
        <v>5</v>
      </c>
      <c r="Y14" s="45"/>
      <c r="Z14" s="69"/>
      <c r="AA14" s="37"/>
      <c r="AB14" s="37"/>
      <c r="AC14" s="37"/>
      <c r="AD14" s="37"/>
      <c r="AE14" s="88">
        <v>1</v>
      </c>
      <c r="AF14" s="82">
        <v>2</v>
      </c>
    </row>
    <row r="15" spans="2:32" ht="15" customHeight="1">
      <c r="B15" s="67">
        <v>4</v>
      </c>
      <c r="C15" s="38">
        <v>5</v>
      </c>
      <c r="D15" s="38">
        <v>6</v>
      </c>
      <c r="E15" s="38">
        <v>7</v>
      </c>
      <c r="F15" s="38">
        <v>8</v>
      </c>
      <c r="G15" s="38">
        <v>9</v>
      </c>
      <c r="H15" s="113">
        <v>10</v>
      </c>
      <c r="I15" s="45"/>
      <c r="J15" s="49">
        <v>8</v>
      </c>
      <c r="K15" s="38">
        <v>9</v>
      </c>
      <c r="L15" s="38">
        <v>10</v>
      </c>
      <c r="M15" s="38">
        <v>11</v>
      </c>
      <c r="N15" s="70">
        <v>12</v>
      </c>
      <c r="O15" s="38">
        <v>13</v>
      </c>
      <c r="P15" s="48">
        <v>14</v>
      </c>
      <c r="Q15" s="45"/>
      <c r="R15" s="49">
        <v>6</v>
      </c>
      <c r="S15" s="38">
        <v>7</v>
      </c>
      <c r="T15" s="38">
        <v>8</v>
      </c>
      <c r="U15" s="38">
        <v>9</v>
      </c>
      <c r="V15" s="70">
        <v>10</v>
      </c>
      <c r="W15" s="38">
        <v>11</v>
      </c>
      <c r="X15" s="48">
        <v>12</v>
      </c>
      <c r="Y15" s="45"/>
      <c r="Z15" s="86">
        <v>3</v>
      </c>
      <c r="AA15" s="52">
        <v>4</v>
      </c>
      <c r="AB15" s="38">
        <v>5</v>
      </c>
      <c r="AC15" s="38">
        <v>6</v>
      </c>
      <c r="AD15" s="70">
        <v>7</v>
      </c>
      <c r="AE15" s="38">
        <v>8</v>
      </c>
      <c r="AF15" s="48">
        <v>9</v>
      </c>
    </row>
    <row r="16" spans="2:32" ht="15" customHeight="1">
      <c r="B16" s="49">
        <v>11</v>
      </c>
      <c r="C16" s="38">
        <v>12</v>
      </c>
      <c r="D16" s="38">
        <v>13</v>
      </c>
      <c r="E16" s="38">
        <v>14</v>
      </c>
      <c r="F16" s="70">
        <v>15</v>
      </c>
      <c r="G16" s="38">
        <v>16</v>
      </c>
      <c r="H16" s="48">
        <v>17</v>
      </c>
      <c r="I16" s="45"/>
      <c r="J16" s="49">
        <v>15</v>
      </c>
      <c r="K16" s="38">
        <v>16</v>
      </c>
      <c r="L16" s="38">
        <v>17</v>
      </c>
      <c r="M16" s="38">
        <v>18</v>
      </c>
      <c r="N16" s="38">
        <v>19</v>
      </c>
      <c r="O16" s="38">
        <v>20</v>
      </c>
      <c r="P16" s="48">
        <v>21</v>
      </c>
      <c r="Q16" s="45"/>
      <c r="R16" s="49">
        <v>13</v>
      </c>
      <c r="S16" s="38">
        <v>14</v>
      </c>
      <c r="T16" s="38">
        <v>15</v>
      </c>
      <c r="U16" s="38">
        <v>16</v>
      </c>
      <c r="V16" s="38">
        <v>17</v>
      </c>
      <c r="W16" s="38">
        <v>18</v>
      </c>
      <c r="X16" s="48">
        <v>19</v>
      </c>
      <c r="Y16" s="45"/>
      <c r="Z16" s="49">
        <v>10</v>
      </c>
      <c r="AA16" s="38">
        <v>11</v>
      </c>
      <c r="AB16" s="38">
        <v>12</v>
      </c>
      <c r="AC16" s="38">
        <v>13</v>
      </c>
      <c r="AD16" s="60">
        <v>14</v>
      </c>
      <c r="AE16" s="38">
        <v>15</v>
      </c>
      <c r="AF16" s="48">
        <v>16</v>
      </c>
    </row>
    <row r="17" spans="2:51" ht="15" customHeight="1">
      <c r="B17" s="49">
        <v>18</v>
      </c>
      <c r="C17" s="38">
        <v>19</v>
      </c>
      <c r="D17" s="38">
        <v>20</v>
      </c>
      <c r="E17" s="38">
        <v>21</v>
      </c>
      <c r="F17" s="38">
        <v>22</v>
      </c>
      <c r="G17" s="38">
        <v>23</v>
      </c>
      <c r="H17" s="48">
        <v>24</v>
      </c>
      <c r="I17" s="45"/>
      <c r="J17" s="49">
        <v>22</v>
      </c>
      <c r="K17" s="38">
        <v>23</v>
      </c>
      <c r="L17" s="38">
        <v>24</v>
      </c>
      <c r="M17" s="38">
        <v>25</v>
      </c>
      <c r="N17" s="70">
        <v>26</v>
      </c>
      <c r="O17" s="38">
        <v>27</v>
      </c>
      <c r="P17" s="48">
        <v>28</v>
      </c>
      <c r="Q17" s="45"/>
      <c r="R17" s="49">
        <v>20</v>
      </c>
      <c r="S17" s="38">
        <v>21</v>
      </c>
      <c r="T17" s="38">
        <v>22</v>
      </c>
      <c r="U17" s="38">
        <v>23</v>
      </c>
      <c r="V17" s="70">
        <v>24</v>
      </c>
      <c r="W17" s="38">
        <v>25</v>
      </c>
      <c r="X17" s="48">
        <v>26</v>
      </c>
      <c r="Y17" s="45"/>
      <c r="Z17" s="49">
        <v>17</v>
      </c>
      <c r="AA17" s="38">
        <v>18</v>
      </c>
      <c r="AB17" s="38">
        <v>19</v>
      </c>
      <c r="AC17" s="38">
        <v>20</v>
      </c>
      <c r="AD17" s="70">
        <v>21</v>
      </c>
      <c r="AE17" s="38">
        <v>22</v>
      </c>
      <c r="AF17" s="48">
        <v>23</v>
      </c>
    </row>
    <row r="18" spans="2:51" ht="15" customHeight="1" thickBot="1">
      <c r="B18" s="53">
        <v>25</v>
      </c>
      <c r="C18" s="56">
        <v>26</v>
      </c>
      <c r="D18" s="56">
        <v>27</v>
      </c>
      <c r="E18" s="56">
        <v>28</v>
      </c>
      <c r="F18" s="72">
        <v>29</v>
      </c>
      <c r="G18" s="56">
        <v>30</v>
      </c>
      <c r="H18" s="57">
        <v>31</v>
      </c>
      <c r="I18" s="45"/>
      <c r="J18" s="53">
        <v>29</v>
      </c>
      <c r="K18" s="56">
        <v>30</v>
      </c>
      <c r="L18" s="56"/>
      <c r="M18" s="56"/>
      <c r="N18" s="56"/>
      <c r="O18" s="56"/>
      <c r="P18" s="57"/>
      <c r="Q18" s="45"/>
      <c r="R18" s="53">
        <v>27</v>
      </c>
      <c r="S18" s="109">
        <v>28</v>
      </c>
      <c r="T18" s="110">
        <v>29</v>
      </c>
      <c r="U18" s="110">
        <v>30</v>
      </c>
      <c r="V18" s="110">
        <v>31</v>
      </c>
      <c r="W18" s="56"/>
      <c r="X18" s="57"/>
      <c r="Y18" s="45"/>
      <c r="Z18" s="49">
        <v>24</v>
      </c>
      <c r="AA18" s="38">
        <v>25</v>
      </c>
      <c r="AB18" s="38">
        <v>26</v>
      </c>
      <c r="AC18" s="38">
        <v>27</v>
      </c>
      <c r="AD18" s="60">
        <v>28</v>
      </c>
      <c r="AE18" s="38">
        <v>29</v>
      </c>
      <c r="AF18" s="48">
        <v>30</v>
      </c>
    </row>
    <row r="19" spans="2:51" ht="15" customHeight="1" thickBot="1">
      <c r="B19" s="45"/>
      <c r="C19" s="45"/>
      <c r="D19" s="45"/>
      <c r="E19" s="45"/>
      <c r="F19" s="45"/>
      <c r="G19" s="45"/>
      <c r="H19" s="45"/>
      <c r="I19" s="45"/>
      <c r="Q19" s="45"/>
      <c r="R19" s="45"/>
      <c r="S19" s="45"/>
      <c r="T19" s="45"/>
      <c r="U19" s="45"/>
      <c r="V19" s="45"/>
      <c r="W19" s="45"/>
      <c r="X19" s="45"/>
      <c r="Y19" s="45"/>
      <c r="Z19" s="53">
        <v>31</v>
      </c>
      <c r="AA19" s="56"/>
      <c r="AB19" s="56"/>
      <c r="AC19" s="56"/>
      <c r="AD19" s="56"/>
      <c r="AE19" s="56"/>
      <c r="AF19" s="57"/>
      <c r="AG19" s="39"/>
    </row>
    <row r="20" spans="2:51" ht="15" customHeight="1" thickBot="1">
      <c r="B20" s="24"/>
      <c r="C20" s="24"/>
      <c r="D20" s="24"/>
      <c r="E20" s="24"/>
      <c r="F20" s="24"/>
      <c r="G20" s="24"/>
      <c r="H20" s="24"/>
      <c r="Q20" s="2"/>
      <c r="R20" s="2"/>
      <c r="S20" s="2"/>
      <c r="T20" s="26"/>
      <c r="U20" s="2"/>
      <c r="V20" s="2"/>
      <c r="W20" s="2"/>
      <c r="X20" s="2"/>
      <c r="Y20" s="2"/>
      <c r="Z20" s="2"/>
      <c r="AA20" s="2"/>
      <c r="AB20" s="2"/>
      <c r="AC20" s="2"/>
      <c r="AD20" s="2"/>
      <c r="AE20" s="2"/>
      <c r="AF20" s="2"/>
    </row>
    <row r="21" spans="2:51" s="14" customFormat="1" ht="30" customHeight="1" thickBot="1">
      <c r="B21" s="133" t="s">
        <v>13</v>
      </c>
      <c r="C21" s="134"/>
      <c r="D21" s="134"/>
      <c r="E21" s="134"/>
      <c r="F21" s="134"/>
      <c r="G21" s="134"/>
      <c r="H21" s="135"/>
      <c r="J21" s="133" t="s">
        <v>14</v>
      </c>
      <c r="K21" s="134"/>
      <c r="L21" s="134"/>
      <c r="M21" s="134"/>
      <c r="N21" s="134"/>
      <c r="O21" s="134"/>
      <c r="P21" s="135"/>
      <c r="Q21" s="16"/>
      <c r="R21" s="133" t="s">
        <v>15</v>
      </c>
      <c r="S21" s="134"/>
      <c r="T21" s="134"/>
      <c r="U21" s="134"/>
      <c r="V21" s="134"/>
      <c r="W21" s="134"/>
      <c r="X21" s="135"/>
      <c r="Y21" s="16"/>
      <c r="Z21" s="133" t="s">
        <v>16</v>
      </c>
      <c r="AA21" s="134"/>
      <c r="AB21" s="134"/>
      <c r="AC21" s="134"/>
      <c r="AD21" s="134"/>
      <c r="AE21" s="134"/>
      <c r="AF21" s="135"/>
    </row>
    <row r="22" spans="2:51" ht="15.95" customHeight="1" thickBot="1">
      <c r="B22" s="17" t="s">
        <v>3</v>
      </c>
      <c r="C22" s="18" t="s">
        <v>4</v>
      </c>
      <c r="D22" s="18" t="s">
        <v>5</v>
      </c>
      <c r="E22" s="18" t="s">
        <v>5</v>
      </c>
      <c r="F22" s="18" t="s">
        <v>6</v>
      </c>
      <c r="G22" s="18" t="s">
        <v>7</v>
      </c>
      <c r="H22" s="19" t="s">
        <v>8</v>
      </c>
      <c r="J22" s="17" t="s">
        <v>3</v>
      </c>
      <c r="K22" s="18" t="s">
        <v>4</v>
      </c>
      <c r="L22" s="18" t="s">
        <v>5</v>
      </c>
      <c r="M22" s="18" t="s">
        <v>5</v>
      </c>
      <c r="N22" s="18" t="s">
        <v>6</v>
      </c>
      <c r="O22" s="18" t="s">
        <v>7</v>
      </c>
      <c r="P22" s="19" t="s">
        <v>8</v>
      </c>
      <c r="Q22" s="2"/>
      <c r="R22" s="17" t="s">
        <v>3</v>
      </c>
      <c r="S22" s="18" t="s">
        <v>4</v>
      </c>
      <c r="T22" s="18" t="s">
        <v>5</v>
      </c>
      <c r="U22" s="18" t="s">
        <v>5</v>
      </c>
      <c r="V22" s="18" t="s">
        <v>6</v>
      </c>
      <c r="W22" s="18" t="s">
        <v>7</v>
      </c>
      <c r="X22" s="19" t="s">
        <v>8</v>
      </c>
      <c r="Y22" s="2"/>
      <c r="Z22" s="17" t="s">
        <v>3</v>
      </c>
      <c r="AA22" s="18" t="s">
        <v>4</v>
      </c>
      <c r="AB22" s="18" t="s">
        <v>5</v>
      </c>
      <c r="AC22" s="18" t="s">
        <v>5</v>
      </c>
      <c r="AD22" s="18" t="s">
        <v>6</v>
      </c>
      <c r="AE22" s="18" t="s">
        <v>7</v>
      </c>
      <c r="AF22" s="19" t="s">
        <v>8</v>
      </c>
      <c r="AH22" s="132"/>
      <c r="AI22" s="132"/>
      <c r="AJ22" s="132"/>
      <c r="AK22" s="132"/>
      <c r="AL22" s="132"/>
      <c r="AM22" s="132"/>
    </row>
    <row r="23" spans="2:51" ht="15" customHeight="1">
      <c r="B23" s="83"/>
      <c r="C23" s="37">
        <v>1</v>
      </c>
      <c r="D23" s="37">
        <v>2</v>
      </c>
      <c r="E23" s="37">
        <v>3</v>
      </c>
      <c r="F23" s="71">
        <v>4</v>
      </c>
      <c r="G23" s="117">
        <v>5</v>
      </c>
      <c r="H23" s="47">
        <v>6</v>
      </c>
      <c r="I23" s="45"/>
      <c r="J23" s="83"/>
      <c r="K23" s="37"/>
      <c r="L23" s="37"/>
      <c r="M23" s="37">
        <v>1</v>
      </c>
      <c r="N23" s="71">
        <v>2</v>
      </c>
      <c r="O23" s="37">
        <v>3</v>
      </c>
      <c r="P23" s="47">
        <v>4</v>
      </c>
      <c r="Q23" s="45"/>
      <c r="R23" s="69"/>
      <c r="S23" s="37"/>
      <c r="T23" s="37"/>
      <c r="U23" s="37"/>
      <c r="V23" s="37"/>
      <c r="W23" s="37"/>
      <c r="X23" s="47">
        <v>1</v>
      </c>
      <c r="Y23" s="45"/>
      <c r="Z23" s="69"/>
      <c r="AA23" s="37">
        <v>1</v>
      </c>
      <c r="AB23" s="37">
        <v>2</v>
      </c>
      <c r="AC23" s="37">
        <v>3</v>
      </c>
      <c r="AD23" s="37">
        <v>4</v>
      </c>
      <c r="AE23" s="37">
        <v>5</v>
      </c>
      <c r="AF23" s="47">
        <v>6</v>
      </c>
      <c r="AG23" s="108"/>
    </row>
    <row r="24" spans="2:51" ht="15" customHeight="1">
      <c r="B24" s="49">
        <v>7</v>
      </c>
      <c r="C24" s="38">
        <v>8</v>
      </c>
      <c r="D24" s="38">
        <v>9</v>
      </c>
      <c r="E24" s="38">
        <v>10</v>
      </c>
      <c r="F24" s="38">
        <v>11</v>
      </c>
      <c r="G24" s="38">
        <v>12</v>
      </c>
      <c r="H24" s="48">
        <v>13</v>
      </c>
      <c r="I24" s="45"/>
      <c r="J24" s="49">
        <v>5</v>
      </c>
      <c r="K24" s="38">
        <v>6</v>
      </c>
      <c r="L24" s="38">
        <v>7</v>
      </c>
      <c r="M24" s="38">
        <v>8</v>
      </c>
      <c r="N24" s="38">
        <v>9</v>
      </c>
      <c r="O24" s="38">
        <v>10</v>
      </c>
      <c r="P24" s="48">
        <v>11</v>
      </c>
      <c r="Q24" s="45"/>
      <c r="R24" s="105">
        <v>2</v>
      </c>
      <c r="S24" s="38">
        <v>3</v>
      </c>
      <c r="T24" s="38">
        <v>4</v>
      </c>
      <c r="U24" s="38">
        <v>5</v>
      </c>
      <c r="V24" s="38">
        <v>6</v>
      </c>
      <c r="W24" s="38">
        <v>7</v>
      </c>
      <c r="X24" s="114">
        <v>8</v>
      </c>
      <c r="Y24" s="45"/>
      <c r="Z24" s="49">
        <v>7</v>
      </c>
      <c r="AA24" s="38">
        <v>8</v>
      </c>
      <c r="AB24" s="38">
        <v>9</v>
      </c>
      <c r="AC24" s="116">
        <v>10</v>
      </c>
      <c r="AD24" s="112">
        <v>11</v>
      </c>
      <c r="AE24" s="106">
        <v>12</v>
      </c>
      <c r="AF24" s="48">
        <v>13</v>
      </c>
    </row>
    <row r="25" spans="2:51" ht="15" customHeight="1">
      <c r="B25" s="49">
        <v>14</v>
      </c>
      <c r="C25" s="38">
        <v>15</v>
      </c>
      <c r="D25" s="61">
        <v>16</v>
      </c>
      <c r="E25" s="38">
        <v>17</v>
      </c>
      <c r="F25" s="70">
        <v>18</v>
      </c>
      <c r="G25" s="38">
        <v>19</v>
      </c>
      <c r="H25" s="48">
        <v>20</v>
      </c>
      <c r="I25" s="45"/>
      <c r="J25" s="105">
        <v>12</v>
      </c>
      <c r="K25" s="38">
        <v>13</v>
      </c>
      <c r="L25" s="38">
        <v>14</v>
      </c>
      <c r="M25" s="38">
        <v>15</v>
      </c>
      <c r="N25" s="70">
        <v>16</v>
      </c>
      <c r="O25" s="38">
        <v>17</v>
      </c>
      <c r="P25" s="48">
        <v>18</v>
      </c>
      <c r="Q25" s="45"/>
      <c r="R25" s="49">
        <v>9</v>
      </c>
      <c r="S25" s="38">
        <v>10</v>
      </c>
      <c r="T25" s="38">
        <v>11</v>
      </c>
      <c r="U25" s="38">
        <v>12</v>
      </c>
      <c r="V25" s="70">
        <v>13</v>
      </c>
      <c r="W25" s="38">
        <v>14</v>
      </c>
      <c r="X25" s="48">
        <v>15</v>
      </c>
      <c r="Y25" s="45"/>
      <c r="Z25" s="49">
        <v>14</v>
      </c>
      <c r="AA25" s="38">
        <v>15</v>
      </c>
      <c r="AB25" s="38">
        <v>16</v>
      </c>
      <c r="AC25" s="6">
        <v>17</v>
      </c>
      <c r="AD25" s="38">
        <v>18</v>
      </c>
      <c r="AE25" s="43">
        <v>19</v>
      </c>
      <c r="AF25" s="111">
        <v>20</v>
      </c>
    </row>
    <row r="26" spans="2:51" ht="15" customHeight="1">
      <c r="B26" s="49">
        <v>21</v>
      </c>
      <c r="C26" s="38">
        <v>22</v>
      </c>
      <c r="D26" s="38">
        <v>23</v>
      </c>
      <c r="E26" s="38">
        <v>24</v>
      </c>
      <c r="F26" s="38">
        <v>25</v>
      </c>
      <c r="G26" s="38">
        <v>26</v>
      </c>
      <c r="H26" s="48">
        <v>27</v>
      </c>
      <c r="I26" s="45"/>
      <c r="J26" s="49">
        <v>19</v>
      </c>
      <c r="K26" s="38">
        <v>20</v>
      </c>
      <c r="L26" s="38">
        <v>21</v>
      </c>
      <c r="M26" s="38">
        <v>22</v>
      </c>
      <c r="N26" s="38">
        <v>23</v>
      </c>
      <c r="O26" s="38">
        <v>24</v>
      </c>
      <c r="P26" s="48">
        <v>25</v>
      </c>
      <c r="Q26" s="45"/>
      <c r="R26" s="49">
        <v>16</v>
      </c>
      <c r="S26" s="50">
        <v>17</v>
      </c>
      <c r="T26" s="38">
        <v>18</v>
      </c>
      <c r="U26" s="38">
        <v>19</v>
      </c>
      <c r="V26" s="38">
        <v>20</v>
      </c>
      <c r="W26" s="38">
        <v>21</v>
      </c>
      <c r="X26" s="48">
        <v>22</v>
      </c>
      <c r="Y26" s="45"/>
      <c r="Z26" s="86">
        <v>21</v>
      </c>
      <c r="AA26" s="43">
        <v>22</v>
      </c>
      <c r="AB26" s="43">
        <v>23</v>
      </c>
      <c r="AC26" s="43">
        <v>24</v>
      </c>
      <c r="AD26" s="115">
        <v>25</v>
      </c>
      <c r="AE26" s="43">
        <v>26</v>
      </c>
      <c r="AF26" s="111">
        <v>27</v>
      </c>
      <c r="AL26" s="8"/>
      <c r="AM26" s="8"/>
      <c r="AN26" s="8"/>
      <c r="AO26" s="8"/>
      <c r="AP26" s="8"/>
      <c r="AQ26" s="8"/>
      <c r="AR26" s="8"/>
      <c r="AS26" s="13"/>
      <c r="AT26" s="13"/>
      <c r="AU26" s="2"/>
      <c r="AV26" s="2"/>
      <c r="AW26" s="2"/>
      <c r="AX26" s="2"/>
      <c r="AY26" s="2"/>
    </row>
    <row r="27" spans="2:51" ht="15" customHeight="1" thickBot="1">
      <c r="B27" s="53">
        <v>28</v>
      </c>
      <c r="C27" s="56">
        <v>29</v>
      </c>
      <c r="D27" s="56">
        <v>30</v>
      </c>
      <c r="E27" s="56"/>
      <c r="F27" s="56"/>
      <c r="G27" s="56"/>
      <c r="H27" s="57"/>
      <c r="I27" s="45"/>
      <c r="J27" s="53">
        <v>26</v>
      </c>
      <c r="K27" s="56">
        <v>27</v>
      </c>
      <c r="L27" s="56">
        <v>28</v>
      </c>
      <c r="M27" s="56">
        <v>29</v>
      </c>
      <c r="N27" s="72">
        <v>30</v>
      </c>
      <c r="O27" s="56">
        <v>31</v>
      </c>
      <c r="P27" s="57"/>
      <c r="Q27" s="45"/>
      <c r="R27" s="49">
        <v>23</v>
      </c>
      <c r="S27" s="38">
        <v>24</v>
      </c>
      <c r="T27" s="38">
        <v>25</v>
      </c>
      <c r="U27" s="38">
        <v>26</v>
      </c>
      <c r="V27" s="70">
        <v>27</v>
      </c>
      <c r="W27" s="38">
        <v>28</v>
      </c>
      <c r="X27" s="48">
        <v>29</v>
      </c>
      <c r="Y27" s="45"/>
      <c r="Z27" s="84">
        <v>28</v>
      </c>
      <c r="AA27" s="110">
        <v>29</v>
      </c>
      <c r="AB27" s="110">
        <v>30</v>
      </c>
      <c r="AC27" s="110">
        <v>31</v>
      </c>
      <c r="AD27" s="56"/>
      <c r="AE27" s="56"/>
      <c r="AF27" s="107"/>
    </row>
    <row r="28" spans="2:51" ht="15" customHeight="1" thickBot="1">
      <c r="B28" s="58"/>
      <c r="C28" s="62"/>
      <c r="D28" s="62"/>
      <c r="E28" s="62"/>
      <c r="F28" s="62"/>
      <c r="G28" s="62"/>
      <c r="H28" s="62"/>
      <c r="I28" s="45"/>
      <c r="Q28" s="45"/>
      <c r="R28" s="53">
        <v>30</v>
      </c>
      <c r="S28" s="56"/>
      <c r="T28" s="56"/>
      <c r="U28" s="56"/>
      <c r="V28" s="56"/>
      <c r="W28" s="56"/>
      <c r="X28" s="57"/>
      <c r="Y28" s="63"/>
      <c r="Z28" s="58"/>
      <c r="AA28" s="62"/>
      <c r="AB28" s="62"/>
      <c r="AC28" s="62"/>
      <c r="AD28" s="62"/>
      <c r="AE28" s="62"/>
      <c r="AF28" s="62"/>
    </row>
    <row r="29" spans="2:51" ht="15" customHeight="1" thickBot="1">
      <c r="B29" s="2"/>
      <c r="C29" s="2"/>
      <c r="D29" s="2"/>
      <c r="E29" s="2"/>
      <c r="F29" s="2"/>
      <c r="G29" s="2"/>
      <c r="H29" s="2"/>
      <c r="J29" s="2"/>
      <c r="K29" s="2"/>
      <c r="L29" s="2"/>
      <c r="M29" s="7"/>
      <c r="N29" s="7"/>
      <c r="O29" s="7"/>
      <c r="P29" s="7"/>
      <c r="Q29" s="2"/>
      <c r="R29" s="2"/>
      <c r="S29" s="2"/>
      <c r="T29" s="2"/>
      <c r="U29" s="2"/>
      <c r="V29" s="2"/>
      <c r="W29" s="2"/>
      <c r="X29" s="2"/>
      <c r="Y29" s="2"/>
      <c r="Z29" s="2"/>
      <c r="AA29" s="2"/>
      <c r="AB29" s="2"/>
      <c r="AC29" s="2"/>
      <c r="AD29" s="2"/>
      <c r="AE29" s="2"/>
      <c r="AF29" s="2"/>
    </row>
    <row r="30" spans="2:51" ht="30" customHeight="1" thickBot="1">
      <c r="B30" s="136" t="s">
        <v>71</v>
      </c>
      <c r="C30" s="137"/>
      <c r="D30" s="137"/>
      <c r="E30" s="137"/>
      <c r="F30" s="137"/>
      <c r="G30" s="137"/>
      <c r="H30" s="138"/>
      <c r="J30" s="2"/>
      <c r="K30" s="68"/>
      <c r="L30" s="68"/>
      <c r="M30" s="68"/>
      <c r="N30" s="68"/>
      <c r="O30" s="68"/>
      <c r="P30" s="68"/>
      <c r="Q30" s="68"/>
      <c r="R30" s="68"/>
      <c r="S30" s="68"/>
      <c r="T30" s="68"/>
      <c r="U30" s="7"/>
      <c r="V30" s="24"/>
      <c r="W30" s="35"/>
      <c r="X30" s="35"/>
      <c r="Y30" s="35"/>
      <c r="Z30" s="35"/>
      <c r="AA30" s="35"/>
      <c r="AB30" s="35"/>
      <c r="AC30" s="35"/>
      <c r="AD30" s="35"/>
      <c r="AE30" s="35"/>
      <c r="AF30" s="35"/>
      <c r="AG30" s="66"/>
      <c r="AH30" s="2"/>
      <c r="AI30" s="2"/>
      <c r="AJ30" s="2"/>
      <c r="AK30" s="2"/>
    </row>
    <row r="31" spans="2:51" ht="15.95" customHeight="1" thickBot="1">
      <c r="B31" s="17" t="s">
        <v>3</v>
      </c>
      <c r="C31" s="18" t="s">
        <v>4</v>
      </c>
      <c r="D31" s="18" t="s">
        <v>5</v>
      </c>
      <c r="E31" s="18" t="s">
        <v>5</v>
      </c>
      <c r="F31" s="18" t="s">
        <v>6</v>
      </c>
      <c r="G31" s="18" t="s">
        <v>7</v>
      </c>
      <c r="H31" s="19" t="s">
        <v>8</v>
      </c>
      <c r="J31" s="44"/>
      <c r="K31" s="123" t="s">
        <v>48</v>
      </c>
      <c r="L31" s="124"/>
      <c r="M31" s="124"/>
      <c r="N31" s="124"/>
      <c r="O31" s="124"/>
      <c r="P31" s="124"/>
      <c r="Q31" s="124"/>
      <c r="R31" s="124"/>
      <c r="S31" s="124"/>
      <c r="T31" s="124"/>
      <c r="U31" s="124"/>
      <c r="V31" s="124"/>
      <c r="W31" s="125"/>
      <c r="X31" s="29"/>
      <c r="Y31" s="119" t="s">
        <v>55</v>
      </c>
      <c r="Z31" s="120"/>
      <c r="AA31" s="120"/>
      <c r="AB31" s="120"/>
      <c r="AC31" s="120"/>
      <c r="AD31" s="120"/>
      <c r="AE31" s="120"/>
      <c r="AF31" s="120"/>
      <c r="AG31" s="120"/>
      <c r="AH31" s="2"/>
      <c r="AI31" s="2"/>
      <c r="AJ31" s="2"/>
      <c r="AK31" s="2"/>
    </row>
    <row r="32" spans="2:51" ht="15" customHeight="1">
      <c r="B32" s="69"/>
      <c r="C32" s="85"/>
      <c r="D32" s="85"/>
      <c r="E32" s="85"/>
      <c r="F32" s="64">
        <v>1</v>
      </c>
      <c r="G32" s="81">
        <v>2</v>
      </c>
      <c r="H32" s="65">
        <v>3</v>
      </c>
      <c r="J32" s="2"/>
      <c r="K32" s="124"/>
      <c r="L32" s="124"/>
      <c r="M32" s="124"/>
      <c r="N32" s="124"/>
      <c r="O32" s="124"/>
      <c r="P32" s="124"/>
      <c r="Q32" s="124"/>
      <c r="R32" s="124"/>
      <c r="S32" s="124"/>
      <c r="T32" s="124"/>
      <c r="AG32" s="34"/>
    </row>
    <row r="33" spans="2:38" ht="14.45" customHeight="1">
      <c r="B33" s="86">
        <v>4</v>
      </c>
      <c r="C33" s="43">
        <v>5</v>
      </c>
      <c r="D33" s="52">
        <v>6</v>
      </c>
      <c r="E33" s="38">
        <v>7</v>
      </c>
      <c r="F33" s="70">
        <v>8</v>
      </c>
      <c r="G33" s="38">
        <v>9</v>
      </c>
      <c r="H33" s="48">
        <v>10</v>
      </c>
      <c r="I33" s="9"/>
      <c r="J33" s="3"/>
      <c r="K33" s="130" t="s">
        <v>62</v>
      </c>
      <c r="L33" s="129"/>
      <c r="M33" s="129"/>
      <c r="N33" s="129"/>
      <c r="O33" s="129"/>
      <c r="P33" s="129"/>
      <c r="Q33" s="129"/>
      <c r="R33" s="129"/>
      <c r="S33" s="129"/>
      <c r="T33" s="129"/>
      <c r="U33" s="129"/>
      <c r="V33" s="129"/>
      <c r="W33" s="131"/>
      <c r="X33" s="42"/>
      <c r="Y33" s="129" t="s">
        <v>76</v>
      </c>
      <c r="Z33" s="129"/>
      <c r="AA33" s="129"/>
      <c r="AB33" s="129"/>
      <c r="AC33" s="129"/>
      <c r="AD33" s="129"/>
      <c r="AE33" s="129"/>
      <c r="AF33" s="129"/>
      <c r="AG33" s="129"/>
      <c r="AH33" s="2"/>
      <c r="AI33" s="2"/>
      <c r="AJ33" s="2"/>
      <c r="AK33" s="2"/>
      <c r="AL33" s="2"/>
    </row>
    <row r="34" spans="2:38" ht="15" customHeight="1">
      <c r="B34" s="49">
        <v>11</v>
      </c>
      <c r="C34" s="38">
        <v>12</v>
      </c>
      <c r="D34" s="38">
        <v>13</v>
      </c>
      <c r="E34" s="38">
        <v>14</v>
      </c>
      <c r="F34" s="38">
        <v>15</v>
      </c>
      <c r="G34" s="38">
        <v>16</v>
      </c>
      <c r="H34" s="48">
        <v>17</v>
      </c>
      <c r="J34" s="2"/>
      <c r="K34" s="66"/>
      <c r="L34" s="66"/>
      <c r="M34" s="66"/>
      <c r="N34" s="66"/>
      <c r="O34" s="66"/>
      <c r="P34" s="66"/>
      <c r="Q34" s="66"/>
      <c r="R34" s="66"/>
      <c r="S34" s="66"/>
      <c r="T34" s="66"/>
      <c r="U34" s="66"/>
      <c r="Y34" s="129"/>
      <c r="Z34" s="129"/>
      <c r="AA34" s="129"/>
      <c r="AB34" s="129"/>
      <c r="AC34" s="129"/>
      <c r="AD34" s="129"/>
      <c r="AE34" s="129"/>
      <c r="AF34" s="129"/>
      <c r="AG34" s="129"/>
      <c r="AH34" s="2"/>
      <c r="AI34" s="2"/>
      <c r="AJ34" s="2"/>
      <c r="AK34" s="2"/>
      <c r="AL34" s="2"/>
    </row>
    <row r="35" spans="2:38" ht="15" customHeight="1">
      <c r="B35" s="49">
        <v>18</v>
      </c>
      <c r="C35" s="38">
        <v>19</v>
      </c>
      <c r="D35" s="89">
        <v>20</v>
      </c>
      <c r="E35" s="38">
        <v>21</v>
      </c>
      <c r="F35" s="70">
        <v>22</v>
      </c>
      <c r="G35" s="38">
        <v>23</v>
      </c>
      <c r="H35" s="48">
        <v>24</v>
      </c>
      <c r="J35" s="40"/>
      <c r="K35" s="123" t="s">
        <v>18</v>
      </c>
      <c r="L35" s="124"/>
      <c r="M35" s="124"/>
      <c r="N35" s="124"/>
      <c r="O35" s="124"/>
      <c r="P35" s="124"/>
      <c r="Q35" s="124"/>
      <c r="R35" s="124"/>
      <c r="S35" s="124"/>
      <c r="T35" s="124"/>
      <c r="U35" s="124"/>
      <c r="V35" s="124"/>
      <c r="W35" s="124"/>
      <c r="X35" s="6"/>
      <c r="Y35" s="121" t="s">
        <v>73</v>
      </c>
      <c r="Z35" s="122"/>
      <c r="AA35" s="122"/>
      <c r="AB35" s="122"/>
      <c r="AC35" s="122"/>
      <c r="AD35" s="122"/>
      <c r="AE35" s="122"/>
      <c r="AF35" s="122"/>
      <c r="AG35" s="122"/>
      <c r="AH35" s="2"/>
      <c r="AI35" s="2"/>
      <c r="AJ35" s="2"/>
      <c r="AK35" s="2"/>
      <c r="AL35" s="2"/>
    </row>
    <row r="36" spans="2:38" ht="15" customHeight="1" thickBot="1">
      <c r="B36" s="53">
        <v>25</v>
      </c>
      <c r="C36" s="54">
        <v>26</v>
      </c>
      <c r="D36" s="54">
        <v>27</v>
      </c>
      <c r="E36" s="54">
        <v>28</v>
      </c>
      <c r="F36" s="54">
        <v>29</v>
      </c>
      <c r="G36" s="54">
        <v>30</v>
      </c>
      <c r="H36" s="55">
        <v>31</v>
      </c>
      <c r="AH36" s="2"/>
      <c r="AI36" s="2"/>
      <c r="AJ36" s="2"/>
      <c r="AK36" s="2"/>
      <c r="AL36" s="2"/>
    </row>
    <row r="37" spans="2:38" ht="15" customHeight="1">
      <c r="B37" s="2"/>
      <c r="C37" s="2"/>
      <c r="D37" s="2"/>
      <c r="E37" s="7"/>
      <c r="F37" s="7"/>
      <c r="G37" s="7"/>
      <c r="H37" s="7"/>
      <c r="J37" s="4"/>
      <c r="K37" s="121" t="s">
        <v>17</v>
      </c>
      <c r="L37" s="122"/>
      <c r="M37" s="122"/>
      <c r="N37" s="122"/>
      <c r="O37" s="122"/>
      <c r="P37" s="122"/>
      <c r="Q37" s="122"/>
      <c r="R37" s="122"/>
      <c r="S37" s="122"/>
      <c r="T37" s="122"/>
      <c r="U37" s="122"/>
      <c r="V37" s="122"/>
      <c r="W37" s="122"/>
      <c r="X37" s="27"/>
      <c r="Y37" s="124" t="s">
        <v>47</v>
      </c>
      <c r="Z37" s="124"/>
      <c r="AA37" s="124"/>
      <c r="AB37" s="124"/>
      <c r="AC37" s="124"/>
      <c r="AD37" s="124"/>
      <c r="AE37" s="124"/>
      <c r="AF37" s="124"/>
      <c r="AG37" s="66"/>
      <c r="AH37" s="2"/>
      <c r="AI37" s="2"/>
      <c r="AJ37" s="2"/>
      <c r="AK37" s="2"/>
      <c r="AL37" s="2"/>
    </row>
    <row r="38" spans="2:38" ht="15.75" customHeight="1">
      <c r="Y38" s="124"/>
      <c r="Z38" s="124"/>
      <c r="AA38" s="124"/>
      <c r="AB38" s="124"/>
      <c r="AC38" s="124"/>
      <c r="AD38" s="124"/>
      <c r="AE38" s="124"/>
      <c r="AF38" s="124"/>
      <c r="AH38" s="2"/>
      <c r="AI38" s="2"/>
      <c r="AJ38" s="2"/>
      <c r="AK38" s="2"/>
      <c r="AL38" s="2"/>
    </row>
    <row r="39" spans="2:38" ht="15" customHeight="1">
      <c r="B39" s="2"/>
      <c r="C39" s="11"/>
      <c r="D39" s="11"/>
      <c r="E39" s="11"/>
      <c r="F39" s="11"/>
      <c r="G39" s="11"/>
      <c r="H39" s="11"/>
      <c r="I39" s="10"/>
      <c r="J39" s="28"/>
      <c r="K39" s="118" t="s">
        <v>49</v>
      </c>
      <c r="L39" s="118"/>
      <c r="M39" s="118"/>
      <c r="N39" s="118"/>
      <c r="O39" s="118"/>
      <c r="P39" s="118"/>
      <c r="Q39" s="118"/>
      <c r="R39" s="118"/>
      <c r="S39" s="118"/>
      <c r="T39" s="118"/>
      <c r="U39" s="118"/>
      <c r="V39" s="118"/>
      <c r="W39" s="118"/>
      <c r="X39" s="12"/>
      <c r="Y39" s="128" t="s">
        <v>45</v>
      </c>
      <c r="Z39" s="118"/>
      <c r="AA39" s="118"/>
      <c r="AB39" s="118"/>
      <c r="AC39" s="118"/>
      <c r="AD39" s="118"/>
      <c r="AE39" s="118"/>
      <c r="AF39" s="118"/>
      <c r="AG39" s="33"/>
    </row>
    <row r="40" spans="2:38" ht="15" customHeight="1">
      <c r="B40" s="2"/>
      <c r="C40" s="11"/>
      <c r="D40" s="11"/>
      <c r="E40" s="11"/>
      <c r="F40" s="11"/>
      <c r="G40" s="11"/>
      <c r="H40" s="11"/>
      <c r="I40" s="10"/>
      <c r="AG40" s="33"/>
    </row>
    <row r="41" spans="2:38" ht="15" customHeight="1">
      <c r="J41" s="25"/>
      <c r="K41" s="126" t="s">
        <v>75</v>
      </c>
      <c r="L41" s="126"/>
      <c r="M41" s="126"/>
      <c r="N41" s="126"/>
      <c r="O41" s="126"/>
      <c r="P41" s="126"/>
      <c r="Q41" s="126"/>
      <c r="R41" s="126"/>
      <c r="S41" s="126"/>
      <c r="T41" s="126"/>
      <c r="U41" s="126"/>
      <c r="V41" s="126"/>
      <c r="W41" s="127"/>
      <c r="X41" s="5"/>
      <c r="Y41" s="129" t="s">
        <v>19</v>
      </c>
      <c r="Z41" s="129"/>
      <c r="AA41" s="129"/>
      <c r="AB41" s="129"/>
      <c r="AC41" s="129"/>
      <c r="AD41" s="129"/>
      <c r="AE41" s="129"/>
      <c r="AF41" s="129"/>
      <c r="AG41" s="33"/>
    </row>
    <row r="42" spans="2:38" ht="15" customHeight="1">
      <c r="K42" s="126"/>
      <c r="L42" s="126"/>
      <c r="M42" s="126"/>
      <c r="N42" s="126"/>
      <c r="O42" s="126"/>
      <c r="P42" s="126"/>
      <c r="Q42" s="126"/>
      <c r="R42" s="126"/>
      <c r="S42" s="126"/>
      <c r="T42" s="126"/>
      <c r="U42" s="126"/>
      <c r="V42" s="126"/>
      <c r="W42" s="126"/>
      <c r="Y42" s="129"/>
      <c r="Z42" s="129"/>
      <c r="AA42" s="129"/>
      <c r="AB42" s="129"/>
      <c r="AC42" s="129"/>
      <c r="AD42" s="129"/>
      <c r="AE42" s="129"/>
      <c r="AF42" s="129"/>
      <c r="AG42" s="66"/>
    </row>
    <row r="43" spans="2:38" ht="15" customHeight="1">
      <c r="J43" s="2"/>
      <c r="K43" s="66"/>
      <c r="L43" s="66"/>
      <c r="M43" s="66"/>
      <c r="N43" s="66"/>
      <c r="O43" s="66"/>
      <c r="P43" s="66"/>
      <c r="Q43" s="66"/>
      <c r="R43" s="66"/>
      <c r="S43" s="66"/>
      <c r="T43" s="66"/>
      <c r="U43" s="66"/>
      <c r="V43" s="66"/>
      <c r="W43" s="66"/>
      <c r="X43" s="66"/>
      <c r="Y43" s="66"/>
      <c r="Z43" s="66"/>
      <c r="AA43" s="66"/>
      <c r="AB43" s="66"/>
      <c r="AC43" s="66"/>
      <c r="AD43" s="66"/>
      <c r="AE43" s="66"/>
      <c r="AF43" s="66"/>
      <c r="AG43" s="66"/>
    </row>
    <row r="44" spans="2:38" ht="13.9" customHeight="1">
      <c r="J44" s="90"/>
      <c r="K44" s="118" t="s">
        <v>56</v>
      </c>
      <c r="L44" s="118"/>
      <c r="M44" s="118"/>
      <c r="N44" s="118"/>
      <c r="O44" s="118"/>
      <c r="P44" s="118"/>
      <c r="Q44" s="118"/>
      <c r="R44" s="118"/>
      <c r="S44" s="118"/>
      <c r="T44" s="118"/>
      <c r="U44" s="118"/>
      <c r="V44" s="118"/>
      <c r="W44" s="118"/>
    </row>
    <row r="45" spans="2:38">
      <c r="B45" s="2"/>
      <c r="C45" s="2"/>
      <c r="D45" s="2"/>
      <c r="E45" s="2"/>
      <c r="F45" s="2"/>
      <c r="G45" s="2"/>
      <c r="H45" s="2"/>
      <c r="J45" s="2"/>
      <c r="K45" s="2"/>
      <c r="L45" s="2"/>
      <c r="M45" s="2"/>
      <c r="N45" s="2"/>
      <c r="O45" s="2"/>
      <c r="P45" s="2"/>
      <c r="Q45" s="2"/>
      <c r="R45" s="2"/>
      <c r="S45" s="2"/>
      <c r="T45" s="2"/>
      <c r="U45" s="2"/>
      <c r="V45" s="2"/>
      <c r="W45" s="2"/>
      <c r="X45" s="2"/>
      <c r="Y45" s="2"/>
      <c r="Z45" s="2"/>
      <c r="AA45" s="2"/>
      <c r="AB45" s="2"/>
      <c r="AC45" s="2"/>
      <c r="AD45" s="2"/>
      <c r="AE45" s="2"/>
      <c r="AF45" s="2"/>
    </row>
    <row r="46" spans="2:38">
      <c r="B46" s="2"/>
      <c r="C46" s="2"/>
      <c r="D46" s="2"/>
      <c r="E46" s="2"/>
      <c r="F46" s="2"/>
      <c r="G46" s="2"/>
      <c r="H46" s="2"/>
      <c r="J46" s="2"/>
      <c r="K46" s="2"/>
      <c r="L46" s="2"/>
      <c r="M46" s="2"/>
      <c r="N46" s="2"/>
      <c r="O46" s="2"/>
      <c r="P46" s="2"/>
      <c r="Q46" s="2"/>
      <c r="R46" s="2"/>
      <c r="S46" s="2"/>
      <c r="T46" s="2"/>
      <c r="U46" s="2"/>
      <c r="V46" s="2"/>
      <c r="W46" s="2"/>
      <c r="X46" s="2"/>
      <c r="Y46" s="2"/>
      <c r="Z46" s="2"/>
      <c r="AA46" s="2"/>
      <c r="AB46" s="2"/>
      <c r="AC46" s="2"/>
      <c r="AD46" s="2"/>
      <c r="AE46" s="2"/>
      <c r="AF46" s="2"/>
    </row>
    <row r="47" spans="2:38">
      <c r="B47" s="2"/>
      <c r="C47" s="2"/>
      <c r="D47" s="2"/>
      <c r="E47" s="2"/>
      <c r="F47" s="2"/>
      <c r="G47" s="2"/>
      <c r="H47" s="2"/>
      <c r="J47" s="2"/>
      <c r="K47" s="2"/>
      <c r="L47" s="2"/>
      <c r="M47" s="2"/>
      <c r="N47" s="2"/>
      <c r="O47" s="2"/>
      <c r="P47" s="2"/>
      <c r="Q47" s="2"/>
      <c r="R47" s="2"/>
      <c r="S47" s="2"/>
      <c r="T47" s="2"/>
      <c r="U47" s="2"/>
      <c r="Y47" s="2"/>
      <c r="Z47" s="2"/>
      <c r="AA47" s="2"/>
      <c r="AB47" s="2"/>
      <c r="AC47" s="2"/>
      <c r="AD47" s="2"/>
      <c r="AE47" s="2"/>
      <c r="AF47" s="2"/>
    </row>
    <row r="48" spans="2:38">
      <c r="B48" s="2"/>
      <c r="C48" s="2"/>
      <c r="D48" s="2"/>
      <c r="E48" s="2"/>
      <c r="F48" s="2"/>
      <c r="G48" s="2"/>
      <c r="H48" s="2"/>
      <c r="J48" s="2"/>
      <c r="K48" s="2"/>
      <c r="L48" s="2"/>
      <c r="M48" s="2"/>
      <c r="N48" s="2"/>
      <c r="O48" s="2"/>
      <c r="P48" s="2"/>
      <c r="Q48" s="2"/>
      <c r="R48" s="2"/>
      <c r="S48" s="2"/>
      <c r="T48" s="2"/>
      <c r="U48" s="2"/>
      <c r="Y48" s="2"/>
      <c r="Z48" s="2"/>
      <c r="AA48" s="2"/>
      <c r="AB48" s="2"/>
      <c r="AC48" s="2"/>
      <c r="AD48" s="2"/>
      <c r="AE48" s="2"/>
      <c r="AF48" s="2"/>
    </row>
    <row r="49" spans="2:8">
      <c r="B49" s="2"/>
      <c r="C49" s="2"/>
      <c r="D49" s="2"/>
      <c r="E49" s="2"/>
      <c r="F49" s="2"/>
      <c r="G49" s="2"/>
      <c r="H49" s="2"/>
    </row>
  </sheetData>
  <mergeCells count="29">
    <mergeCell ref="B12:H12"/>
    <mergeCell ref="B30:H30"/>
    <mergeCell ref="B21:H21"/>
    <mergeCell ref="B1:AF1"/>
    <mergeCell ref="B3:H3"/>
    <mergeCell ref="J3:P3"/>
    <mergeCell ref="R3:X3"/>
    <mergeCell ref="Z3:AF3"/>
    <mergeCell ref="AH22:AM22"/>
    <mergeCell ref="R12:X12"/>
    <mergeCell ref="Z12:AF12"/>
    <mergeCell ref="J12:P12"/>
    <mergeCell ref="J21:P21"/>
    <mergeCell ref="R21:X21"/>
    <mergeCell ref="Z21:AF21"/>
    <mergeCell ref="K44:W44"/>
    <mergeCell ref="Y31:AG31"/>
    <mergeCell ref="Y35:AG35"/>
    <mergeCell ref="K31:W31"/>
    <mergeCell ref="K35:W35"/>
    <mergeCell ref="K37:W37"/>
    <mergeCell ref="K39:W39"/>
    <mergeCell ref="K32:T32"/>
    <mergeCell ref="K41:W42"/>
    <mergeCell ref="Y39:AF39"/>
    <mergeCell ref="Y41:AF42"/>
    <mergeCell ref="Y37:AF38"/>
    <mergeCell ref="K33:W33"/>
    <mergeCell ref="Y33:AG34"/>
  </mergeCells>
  <printOptions horizontalCentered="1" verticalCentered="1"/>
  <pageMargins left="0.54500000000000004" right="0" top="0" bottom="0" header="0" footer="0.51181102362204722"/>
  <pageSetup paperSize="9" scale="76"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3ECE"/>
  </sheetPr>
  <dimension ref="B1:I31"/>
  <sheetViews>
    <sheetView workbookViewId="0">
      <selection activeCell="L31" sqref="L31"/>
    </sheetView>
  </sheetViews>
  <sheetFormatPr baseColWidth="10" defaultColWidth="11.42578125" defaultRowHeight="12.75"/>
  <cols>
    <col min="1" max="1" width="6.85546875" style="36" customWidth="1"/>
    <col min="2" max="2" width="6.140625" style="36" customWidth="1"/>
    <col min="3" max="7" width="11.42578125" style="36"/>
    <col min="8" max="8" width="37.7109375" style="36" customWidth="1"/>
    <col min="9" max="16384" width="11.42578125" style="36"/>
  </cols>
  <sheetData>
    <row r="1" spans="2:9" ht="13.5" thickBot="1"/>
    <row r="2" spans="2:9" ht="31.5" customHeight="1">
      <c r="B2" s="172" t="s">
        <v>54</v>
      </c>
      <c r="C2" s="173"/>
      <c r="D2" s="173"/>
      <c r="E2" s="173"/>
      <c r="F2" s="173"/>
      <c r="G2" s="173"/>
      <c r="H2" s="174"/>
    </row>
    <row r="3" spans="2:9" ht="31.5" customHeight="1">
      <c r="B3" s="166" t="s">
        <v>52</v>
      </c>
      <c r="C3" s="167"/>
      <c r="D3" s="167"/>
      <c r="E3" s="167"/>
      <c r="F3" s="167"/>
      <c r="G3" s="167"/>
      <c r="H3" s="168"/>
    </row>
    <row r="4" spans="2:9">
      <c r="B4" s="175"/>
      <c r="C4" s="161"/>
      <c r="D4" s="161"/>
      <c r="E4" s="161"/>
      <c r="F4" s="161"/>
      <c r="G4" s="161"/>
      <c r="H4" s="162"/>
    </row>
    <row r="5" spans="2:9" ht="26.25" customHeight="1">
      <c r="B5" s="169" t="s">
        <v>51</v>
      </c>
      <c r="C5" s="170"/>
      <c r="D5" s="170"/>
      <c r="E5" s="170"/>
      <c r="F5" s="170"/>
      <c r="G5" s="170"/>
      <c r="H5" s="171"/>
    </row>
    <row r="6" spans="2:9">
      <c r="B6" s="163"/>
      <c r="C6" s="164"/>
      <c r="D6" s="164"/>
      <c r="E6" s="164"/>
      <c r="F6" s="164"/>
      <c r="G6" s="164"/>
      <c r="H6" s="165"/>
    </row>
    <row r="7" spans="2:9">
      <c r="B7" s="41" t="s">
        <v>22</v>
      </c>
      <c r="C7" s="161" t="s">
        <v>23</v>
      </c>
      <c r="D7" s="161"/>
      <c r="E7" s="161"/>
      <c r="F7" s="161"/>
      <c r="G7" s="161"/>
      <c r="H7" s="162"/>
    </row>
    <row r="8" spans="2:9">
      <c r="B8" s="41" t="s">
        <v>24</v>
      </c>
      <c r="C8" s="161" t="s">
        <v>25</v>
      </c>
      <c r="D8" s="161"/>
      <c r="E8" s="161"/>
      <c r="F8" s="161"/>
      <c r="G8" s="161"/>
      <c r="H8" s="162"/>
    </row>
    <row r="9" spans="2:9">
      <c r="B9" s="41" t="s">
        <v>26</v>
      </c>
      <c r="C9" s="161" t="s">
        <v>27</v>
      </c>
      <c r="D9" s="161"/>
      <c r="E9" s="161"/>
      <c r="F9" s="161"/>
      <c r="G9" s="161"/>
      <c r="H9" s="162"/>
    </row>
    <row r="10" spans="2:9">
      <c r="B10" s="41" t="s">
        <v>28</v>
      </c>
      <c r="C10" s="161" t="s">
        <v>29</v>
      </c>
      <c r="D10" s="161"/>
      <c r="E10" s="161"/>
      <c r="F10" s="161"/>
      <c r="G10" s="161"/>
      <c r="H10" s="162"/>
    </row>
    <row r="11" spans="2:9">
      <c r="B11" s="41" t="s">
        <v>30</v>
      </c>
      <c r="C11" s="161" t="s">
        <v>31</v>
      </c>
      <c r="D11" s="161"/>
      <c r="E11" s="161"/>
      <c r="F11" s="161"/>
      <c r="G11" s="161"/>
      <c r="H11" s="162"/>
    </row>
    <row r="12" spans="2:9">
      <c r="B12" s="41" t="s">
        <v>32</v>
      </c>
      <c r="C12" s="161" t="s">
        <v>33</v>
      </c>
      <c r="D12" s="161"/>
      <c r="E12" s="161"/>
      <c r="F12" s="161"/>
      <c r="G12" s="161"/>
      <c r="H12" s="162"/>
      <c r="I12" s="91"/>
    </row>
    <row r="13" spans="2:9" ht="12.75" customHeight="1">
      <c r="B13" s="41" t="s">
        <v>34</v>
      </c>
      <c r="C13" s="161" t="s">
        <v>57</v>
      </c>
      <c r="D13" s="161"/>
      <c r="E13" s="161"/>
      <c r="F13" s="161"/>
      <c r="G13" s="161"/>
      <c r="H13" s="162"/>
    </row>
    <row r="14" spans="2:9">
      <c r="B14" s="41" t="s">
        <v>35</v>
      </c>
      <c r="C14" s="161" t="s">
        <v>36</v>
      </c>
      <c r="D14" s="161"/>
      <c r="E14" s="161"/>
      <c r="F14" s="161"/>
      <c r="G14" s="161"/>
      <c r="H14" s="162"/>
    </row>
    <row r="15" spans="2:9">
      <c r="B15" s="41" t="s">
        <v>37</v>
      </c>
      <c r="C15" s="161" t="s">
        <v>38</v>
      </c>
      <c r="D15" s="161"/>
      <c r="E15" s="161"/>
      <c r="F15" s="161"/>
      <c r="G15" s="161"/>
      <c r="H15" s="162"/>
    </row>
    <row r="16" spans="2:9">
      <c r="B16" s="163"/>
      <c r="C16" s="164"/>
      <c r="D16" s="164"/>
      <c r="E16" s="164"/>
      <c r="F16" s="164"/>
      <c r="G16" s="164"/>
      <c r="H16" s="165"/>
    </row>
    <row r="17" spans="2:8" ht="26.25" customHeight="1">
      <c r="B17" s="169" t="s">
        <v>53</v>
      </c>
      <c r="C17" s="170"/>
      <c r="D17" s="170"/>
      <c r="E17" s="170"/>
      <c r="F17" s="170"/>
      <c r="G17" s="170"/>
      <c r="H17" s="171"/>
    </row>
    <row r="18" spans="2:8">
      <c r="B18" s="163"/>
      <c r="C18" s="164"/>
      <c r="D18" s="164"/>
      <c r="E18" s="164"/>
      <c r="F18" s="164"/>
      <c r="G18" s="164"/>
      <c r="H18" s="165"/>
    </row>
    <row r="19" spans="2:8">
      <c r="B19" s="41" t="s">
        <v>22</v>
      </c>
      <c r="C19" s="161" t="s">
        <v>39</v>
      </c>
      <c r="D19" s="161"/>
      <c r="E19" s="161"/>
      <c r="F19" s="161"/>
      <c r="G19" s="161"/>
      <c r="H19" s="162"/>
    </row>
    <row r="20" spans="2:8">
      <c r="B20" s="41" t="s">
        <v>24</v>
      </c>
      <c r="C20" s="161" t="s">
        <v>50</v>
      </c>
      <c r="D20" s="161"/>
      <c r="E20" s="161"/>
      <c r="F20" s="161"/>
      <c r="G20" s="161"/>
      <c r="H20" s="162"/>
    </row>
    <row r="21" spans="2:8">
      <c r="B21" s="41" t="s">
        <v>26</v>
      </c>
      <c r="C21" s="161" t="s">
        <v>40</v>
      </c>
      <c r="D21" s="161"/>
      <c r="E21" s="161"/>
      <c r="F21" s="161"/>
      <c r="G21" s="161"/>
      <c r="H21" s="162"/>
    </row>
    <row r="22" spans="2:8" ht="12.75" customHeight="1">
      <c r="B22" s="41" t="s">
        <v>28</v>
      </c>
      <c r="C22" s="161" t="s">
        <v>41</v>
      </c>
      <c r="D22" s="161"/>
      <c r="E22" s="161"/>
      <c r="F22" s="161"/>
      <c r="G22" s="161"/>
      <c r="H22" s="162"/>
    </row>
    <row r="23" spans="2:8">
      <c r="B23" s="41" t="s">
        <v>30</v>
      </c>
      <c r="C23" s="161" t="s">
        <v>42</v>
      </c>
      <c r="D23" s="161"/>
      <c r="E23" s="161"/>
      <c r="F23" s="161"/>
      <c r="G23" s="161"/>
      <c r="H23" s="162"/>
    </row>
    <row r="24" spans="2:8">
      <c r="B24" s="41" t="s">
        <v>32</v>
      </c>
      <c r="C24" s="161" t="s">
        <v>43</v>
      </c>
      <c r="D24" s="161"/>
      <c r="E24" s="161"/>
      <c r="F24" s="161"/>
      <c r="G24" s="161"/>
      <c r="H24" s="162"/>
    </row>
    <row r="25" spans="2:8" ht="12.75" customHeight="1">
      <c r="B25" s="153" t="s">
        <v>63</v>
      </c>
      <c r="C25" s="154"/>
      <c r="D25" s="154"/>
      <c r="E25" s="154"/>
      <c r="F25" s="154"/>
      <c r="G25" s="154"/>
      <c r="H25" s="155"/>
    </row>
    <row r="26" spans="2:8" ht="26.25" customHeight="1">
      <c r="B26" s="156" t="s">
        <v>64</v>
      </c>
      <c r="C26" s="157"/>
      <c r="D26" s="157"/>
      <c r="E26" s="157"/>
      <c r="F26" s="157"/>
      <c r="G26" s="157"/>
      <c r="H26" s="158"/>
    </row>
    <row r="27" spans="2:8" s="101" customFormat="1" ht="12.75" customHeight="1">
      <c r="B27" s="103" t="s">
        <v>65</v>
      </c>
      <c r="C27" s="159" t="s">
        <v>66</v>
      </c>
      <c r="D27" s="159"/>
      <c r="E27" s="159"/>
      <c r="F27" s="159"/>
      <c r="G27" s="159"/>
      <c r="H27" s="160"/>
    </row>
    <row r="28" spans="2:8" s="101" customFormat="1" ht="23.25" customHeight="1">
      <c r="B28" s="103" t="s">
        <v>67</v>
      </c>
      <c r="C28" s="149" t="s">
        <v>68</v>
      </c>
      <c r="D28" s="149"/>
      <c r="E28" s="149"/>
      <c r="F28" s="149"/>
      <c r="G28" s="149"/>
      <c r="H28" s="150"/>
    </row>
    <row r="29" spans="2:8" s="101" customFormat="1" ht="24.75" customHeight="1" thickBot="1">
      <c r="B29" s="102" t="s">
        <v>69</v>
      </c>
      <c r="C29" s="151" t="s">
        <v>70</v>
      </c>
      <c r="D29" s="151"/>
      <c r="E29" s="151"/>
      <c r="F29" s="151"/>
      <c r="G29" s="151"/>
      <c r="H29" s="152"/>
    </row>
    <row r="30" spans="2:8" ht="13.5" thickBot="1"/>
    <row r="31" spans="2:8" ht="40.5" customHeight="1" thickBot="1">
      <c r="B31" s="146" t="s">
        <v>74</v>
      </c>
      <c r="C31" s="147"/>
      <c r="D31" s="147"/>
      <c r="E31" s="147"/>
      <c r="F31" s="147"/>
      <c r="G31" s="147"/>
      <c r="H31" s="148"/>
    </row>
  </sheetData>
  <mergeCells count="29">
    <mergeCell ref="B3:H3"/>
    <mergeCell ref="B17:H17"/>
    <mergeCell ref="B2:H2"/>
    <mergeCell ref="B5:H5"/>
    <mergeCell ref="C8:H8"/>
    <mergeCell ref="C9:H9"/>
    <mergeCell ref="B4:H4"/>
    <mergeCell ref="B6:H6"/>
    <mergeCell ref="C7:H7"/>
    <mergeCell ref="C24:H24"/>
    <mergeCell ref="C10:H10"/>
    <mergeCell ref="C11:H11"/>
    <mergeCell ref="C12:H12"/>
    <mergeCell ref="C13:H13"/>
    <mergeCell ref="C14:H14"/>
    <mergeCell ref="C15:H15"/>
    <mergeCell ref="C19:H19"/>
    <mergeCell ref="C20:H20"/>
    <mergeCell ref="C21:H21"/>
    <mergeCell ref="C22:H22"/>
    <mergeCell ref="C23:H23"/>
    <mergeCell ref="B18:H18"/>
    <mergeCell ref="B16:H16"/>
    <mergeCell ref="B31:H31"/>
    <mergeCell ref="C28:H28"/>
    <mergeCell ref="C29:H29"/>
    <mergeCell ref="B25:H25"/>
    <mergeCell ref="B26:H26"/>
    <mergeCell ref="C27:H27"/>
  </mergeCells>
  <pageMargins left="0.7" right="0.7" top="0.75" bottom="0.75" header="0.3" footer="0.3"/>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66699"/>
    <pageSetUpPr fitToPage="1"/>
  </sheetPr>
  <dimension ref="A1:P30"/>
  <sheetViews>
    <sheetView workbookViewId="0">
      <selection activeCell="D4" sqref="D4:D29"/>
    </sheetView>
  </sheetViews>
  <sheetFormatPr baseColWidth="10" defaultColWidth="11.42578125" defaultRowHeight="14.25"/>
  <cols>
    <col min="1" max="1" width="5.7109375" style="20" customWidth="1"/>
    <col min="2" max="2" width="12.7109375" style="20" customWidth="1"/>
    <col min="3" max="4" width="15.7109375" style="20" customWidth="1"/>
    <col min="5" max="5" width="5.7109375" style="20" customWidth="1"/>
    <col min="6" max="6" width="4.85546875" style="20" customWidth="1"/>
    <col min="7" max="7" width="12.7109375" style="20" customWidth="1"/>
    <col min="8" max="9" width="15.7109375" style="20" customWidth="1"/>
    <col min="10" max="10" width="3.7109375" style="20" customWidth="1"/>
    <col min="11" max="11" width="12.7109375" style="20" customWidth="1"/>
    <col min="12" max="13" width="15.7109375" style="20" customWidth="1"/>
    <col min="14" max="16384" width="11.42578125" style="20"/>
  </cols>
  <sheetData>
    <row r="1" spans="1:16" ht="52.5" customHeight="1" thickBot="1">
      <c r="B1" s="176" t="s">
        <v>60</v>
      </c>
      <c r="C1" s="177"/>
      <c r="D1" s="178"/>
      <c r="G1" s="176" t="s">
        <v>61</v>
      </c>
      <c r="H1" s="177"/>
      <c r="I1" s="177"/>
      <c r="J1" s="177"/>
      <c r="K1" s="177"/>
      <c r="L1" s="177"/>
      <c r="M1" s="178"/>
    </row>
    <row r="2" spans="1:16" ht="9" customHeight="1" thickBot="1">
      <c r="A2" s="21"/>
      <c r="B2" s="21"/>
      <c r="C2" s="21"/>
      <c r="D2" s="21"/>
      <c r="E2" s="21"/>
      <c r="G2" s="22"/>
      <c r="H2" s="22"/>
      <c r="I2" s="22"/>
    </row>
    <row r="3" spans="1:16" ht="56.25" customHeight="1" thickBot="1">
      <c r="B3" s="95" t="s">
        <v>20</v>
      </c>
      <c r="C3" s="95" t="s">
        <v>58</v>
      </c>
      <c r="D3" s="95" t="s">
        <v>46</v>
      </c>
      <c r="E3" s="23"/>
      <c r="F3" s="23"/>
      <c r="G3" s="95" t="s">
        <v>20</v>
      </c>
      <c r="H3" s="95" t="s">
        <v>59</v>
      </c>
      <c r="I3" s="95" t="s">
        <v>44</v>
      </c>
      <c r="J3" s="23"/>
      <c r="K3" s="95" t="s">
        <v>20</v>
      </c>
      <c r="L3" s="95" t="s">
        <v>59</v>
      </c>
      <c r="M3" s="95" t="s">
        <v>44</v>
      </c>
    </row>
    <row r="4" spans="1:16" ht="15">
      <c r="B4" s="30">
        <v>2025001</v>
      </c>
      <c r="C4" s="73">
        <v>45653</v>
      </c>
      <c r="D4" s="96">
        <v>45666</v>
      </c>
      <c r="G4" s="30">
        <v>2025001</v>
      </c>
      <c r="H4" s="87">
        <v>45656</v>
      </c>
      <c r="I4" s="78">
        <v>45662</v>
      </c>
      <c r="K4" s="30">
        <v>2025028</v>
      </c>
      <c r="L4" s="94">
        <v>45845</v>
      </c>
      <c r="M4" s="92">
        <f>+L4+7-1</f>
        <v>45851</v>
      </c>
    </row>
    <row r="5" spans="1:16" ht="15">
      <c r="B5" s="31">
        <f>+B4+1</f>
        <v>2025002</v>
      </c>
      <c r="C5" s="75">
        <f>+D4+1</f>
        <v>45667</v>
      </c>
      <c r="D5" s="74">
        <f>+C5+14-1</f>
        <v>45680</v>
      </c>
      <c r="E5" s="79"/>
      <c r="G5" s="31">
        <f>G4+1</f>
        <v>2025002</v>
      </c>
      <c r="H5" s="75">
        <f>+I4+1</f>
        <v>45663</v>
      </c>
      <c r="I5" s="74">
        <f>+H5+7-1</f>
        <v>45669</v>
      </c>
      <c r="K5" s="31">
        <f t="shared" ref="K5:K28" si="0">+K4+1</f>
        <v>2025029</v>
      </c>
      <c r="L5" s="75">
        <f t="shared" ref="L5:L29" si="1">+M4+1</f>
        <v>45852</v>
      </c>
      <c r="M5" s="93">
        <f t="shared" ref="M5:M29" si="2">+L5+7-1</f>
        <v>45858</v>
      </c>
      <c r="O5" s="80"/>
      <c r="P5" s="80"/>
    </row>
    <row r="6" spans="1:16" ht="15">
      <c r="B6" s="31">
        <f t="shared" ref="B6:B29" si="3">+B5+1</f>
        <v>2025003</v>
      </c>
      <c r="C6" s="75">
        <f t="shared" ref="C6:C29" si="4">+D5+1</f>
        <v>45681</v>
      </c>
      <c r="D6" s="74">
        <f t="shared" ref="D6:D29" si="5">+C6+14-1</f>
        <v>45694</v>
      </c>
      <c r="E6" s="79"/>
      <c r="G6" s="31">
        <f t="shared" ref="G6:G30" si="6">G5+1</f>
        <v>2025003</v>
      </c>
      <c r="H6" s="75">
        <f>+I5+1</f>
        <v>45670</v>
      </c>
      <c r="I6" s="74">
        <f t="shared" ref="I6:I12" si="7">+H6+7-1</f>
        <v>45676</v>
      </c>
      <c r="K6" s="31">
        <f t="shared" si="0"/>
        <v>2025030</v>
      </c>
      <c r="L6" s="75">
        <f t="shared" si="1"/>
        <v>45859</v>
      </c>
      <c r="M6" s="74">
        <f t="shared" si="2"/>
        <v>45865</v>
      </c>
      <c r="O6" s="80"/>
      <c r="P6" s="80"/>
    </row>
    <row r="7" spans="1:16" ht="15">
      <c r="B7" s="31">
        <f t="shared" si="3"/>
        <v>2025004</v>
      </c>
      <c r="C7" s="75">
        <f t="shared" si="4"/>
        <v>45695</v>
      </c>
      <c r="D7" s="74">
        <f t="shared" si="5"/>
        <v>45708</v>
      </c>
      <c r="E7" s="79"/>
      <c r="G7" s="31">
        <f t="shared" si="6"/>
        <v>2025004</v>
      </c>
      <c r="H7" s="75">
        <f t="shared" ref="H7:H12" si="8">+I6+1</f>
        <v>45677</v>
      </c>
      <c r="I7" s="74">
        <f t="shared" si="7"/>
        <v>45683</v>
      </c>
      <c r="K7" s="31">
        <f t="shared" si="0"/>
        <v>2025031</v>
      </c>
      <c r="L7" s="75">
        <f t="shared" si="1"/>
        <v>45866</v>
      </c>
      <c r="M7" s="74">
        <f t="shared" si="2"/>
        <v>45872</v>
      </c>
      <c r="O7" s="80"/>
      <c r="P7" s="80"/>
    </row>
    <row r="8" spans="1:16" ht="15">
      <c r="B8" s="31">
        <f t="shared" si="3"/>
        <v>2025005</v>
      </c>
      <c r="C8" s="75">
        <f t="shared" si="4"/>
        <v>45709</v>
      </c>
      <c r="D8" s="74">
        <f>+C8+14-1</f>
        <v>45722</v>
      </c>
      <c r="E8" s="79"/>
      <c r="G8" s="31">
        <f t="shared" si="6"/>
        <v>2025005</v>
      </c>
      <c r="H8" s="75">
        <f t="shared" si="8"/>
        <v>45684</v>
      </c>
      <c r="I8" s="74">
        <f t="shared" si="7"/>
        <v>45690</v>
      </c>
      <c r="K8" s="31">
        <f t="shared" si="0"/>
        <v>2025032</v>
      </c>
      <c r="L8" s="75">
        <f t="shared" si="1"/>
        <v>45873</v>
      </c>
      <c r="M8" s="74">
        <f t="shared" si="2"/>
        <v>45879</v>
      </c>
      <c r="O8" s="80"/>
      <c r="P8" s="80"/>
    </row>
    <row r="9" spans="1:16" ht="15">
      <c r="B9" s="31">
        <f t="shared" si="3"/>
        <v>2025006</v>
      </c>
      <c r="C9" s="75">
        <f t="shared" si="4"/>
        <v>45723</v>
      </c>
      <c r="D9" s="74">
        <f t="shared" si="5"/>
        <v>45736</v>
      </c>
      <c r="E9" s="79"/>
      <c r="G9" s="31">
        <f t="shared" si="6"/>
        <v>2025006</v>
      </c>
      <c r="H9" s="75">
        <f t="shared" si="8"/>
        <v>45691</v>
      </c>
      <c r="I9" s="74">
        <f t="shared" si="7"/>
        <v>45697</v>
      </c>
      <c r="K9" s="31">
        <f t="shared" si="0"/>
        <v>2025033</v>
      </c>
      <c r="L9" s="75">
        <f t="shared" si="1"/>
        <v>45880</v>
      </c>
      <c r="M9" s="74">
        <f t="shared" si="2"/>
        <v>45886</v>
      </c>
      <c r="O9" s="80"/>
      <c r="P9" s="80"/>
    </row>
    <row r="10" spans="1:16" ht="15">
      <c r="B10" s="31">
        <f t="shared" si="3"/>
        <v>2025007</v>
      </c>
      <c r="C10" s="75">
        <f t="shared" si="4"/>
        <v>45737</v>
      </c>
      <c r="D10" s="74">
        <f t="shared" si="5"/>
        <v>45750</v>
      </c>
      <c r="E10" s="79"/>
      <c r="G10" s="31">
        <f t="shared" si="6"/>
        <v>2025007</v>
      </c>
      <c r="H10" s="75">
        <f t="shared" si="8"/>
        <v>45698</v>
      </c>
      <c r="I10" s="74">
        <f t="shared" si="7"/>
        <v>45704</v>
      </c>
      <c r="K10" s="31">
        <f t="shared" si="0"/>
        <v>2025034</v>
      </c>
      <c r="L10" s="75">
        <f t="shared" si="1"/>
        <v>45887</v>
      </c>
      <c r="M10" s="74">
        <f t="shared" si="2"/>
        <v>45893</v>
      </c>
      <c r="O10" s="80"/>
      <c r="P10" s="80"/>
    </row>
    <row r="11" spans="1:16" ht="15">
      <c r="B11" s="31">
        <f t="shared" si="3"/>
        <v>2025008</v>
      </c>
      <c r="C11" s="75">
        <f t="shared" si="4"/>
        <v>45751</v>
      </c>
      <c r="D11" s="74">
        <f t="shared" si="5"/>
        <v>45764</v>
      </c>
      <c r="E11" s="79"/>
      <c r="G11" s="31">
        <f t="shared" si="6"/>
        <v>2025008</v>
      </c>
      <c r="H11" s="75">
        <f t="shared" si="8"/>
        <v>45705</v>
      </c>
      <c r="I11" s="74">
        <f t="shared" si="7"/>
        <v>45711</v>
      </c>
      <c r="K11" s="31">
        <f t="shared" si="0"/>
        <v>2025035</v>
      </c>
      <c r="L11" s="75">
        <f t="shared" si="1"/>
        <v>45894</v>
      </c>
      <c r="M11" s="74">
        <f t="shared" si="2"/>
        <v>45900</v>
      </c>
      <c r="O11" s="80"/>
      <c r="P11" s="80"/>
    </row>
    <row r="12" spans="1:16" ht="15">
      <c r="B12" s="31">
        <f t="shared" si="3"/>
        <v>2025009</v>
      </c>
      <c r="C12" s="75">
        <f t="shared" si="4"/>
        <v>45765</v>
      </c>
      <c r="D12" s="74">
        <f t="shared" si="5"/>
        <v>45778</v>
      </c>
      <c r="E12" s="79"/>
      <c r="G12" s="31">
        <f t="shared" si="6"/>
        <v>2025009</v>
      </c>
      <c r="H12" s="75">
        <f t="shared" si="8"/>
        <v>45712</v>
      </c>
      <c r="I12" s="74">
        <f t="shared" si="7"/>
        <v>45718</v>
      </c>
      <c r="K12" s="31">
        <f t="shared" si="0"/>
        <v>2025036</v>
      </c>
      <c r="L12" s="75">
        <f t="shared" si="1"/>
        <v>45901</v>
      </c>
      <c r="M12" s="74">
        <f t="shared" si="2"/>
        <v>45907</v>
      </c>
      <c r="O12" s="80"/>
      <c r="P12" s="80"/>
    </row>
    <row r="13" spans="1:16" ht="15">
      <c r="B13" s="31">
        <f t="shared" si="3"/>
        <v>2025010</v>
      </c>
      <c r="C13" s="75">
        <f t="shared" si="4"/>
        <v>45779</v>
      </c>
      <c r="D13" s="74">
        <f t="shared" si="5"/>
        <v>45792</v>
      </c>
      <c r="E13" s="79"/>
      <c r="G13" s="31">
        <f t="shared" si="6"/>
        <v>2025010</v>
      </c>
      <c r="H13" s="75">
        <f>+I12+1</f>
        <v>45719</v>
      </c>
      <c r="I13" s="74">
        <f>+H13+8-2</f>
        <v>45725</v>
      </c>
      <c r="K13" s="31">
        <f t="shared" si="0"/>
        <v>2025037</v>
      </c>
      <c r="L13" s="75">
        <f t="shared" si="1"/>
        <v>45908</v>
      </c>
      <c r="M13" s="74">
        <f t="shared" si="2"/>
        <v>45914</v>
      </c>
      <c r="O13" s="80"/>
      <c r="P13" s="80"/>
    </row>
    <row r="14" spans="1:16" ht="15">
      <c r="B14" s="31">
        <f t="shared" si="3"/>
        <v>2025011</v>
      </c>
      <c r="C14" s="75">
        <f t="shared" si="4"/>
        <v>45793</v>
      </c>
      <c r="D14" s="74">
        <f t="shared" si="5"/>
        <v>45806</v>
      </c>
      <c r="E14" s="79"/>
      <c r="G14" s="31">
        <f t="shared" si="6"/>
        <v>2025011</v>
      </c>
      <c r="H14" s="75">
        <f t="shared" ref="H14:H30" si="9">+I13+1</f>
        <v>45726</v>
      </c>
      <c r="I14" s="74">
        <f t="shared" ref="I14:I30" si="10">+H14+7-1</f>
        <v>45732</v>
      </c>
      <c r="K14" s="31">
        <f t="shared" si="0"/>
        <v>2025038</v>
      </c>
      <c r="L14" s="75">
        <f t="shared" si="1"/>
        <v>45915</v>
      </c>
      <c r="M14" s="74">
        <f t="shared" si="2"/>
        <v>45921</v>
      </c>
      <c r="O14" s="80"/>
      <c r="P14" s="80"/>
    </row>
    <row r="15" spans="1:16" ht="15">
      <c r="B15" s="31">
        <f t="shared" si="3"/>
        <v>2025012</v>
      </c>
      <c r="C15" s="75">
        <f t="shared" si="4"/>
        <v>45807</v>
      </c>
      <c r="D15" s="74">
        <f t="shared" si="5"/>
        <v>45820</v>
      </c>
      <c r="E15" s="79"/>
      <c r="G15" s="31">
        <f t="shared" si="6"/>
        <v>2025012</v>
      </c>
      <c r="H15" s="75">
        <f t="shared" si="9"/>
        <v>45733</v>
      </c>
      <c r="I15" s="74">
        <f t="shared" si="10"/>
        <v>45739</v>
      </c>
      <c r="K15" s="31">
        <f t="shared" si="0"/>
        <v>2025039</v>
      </c>
      <c r="L15" s="75">
        <f t="shared" si="1"/>
        <v>45922</v>
      </c>
      <c r="M15" s="74">
        <f t="shared" si="2"/>
        <v>45928</v>
      </c>
      <c r="O15" s="80"/>
      <c r="P15" s="80"/>
    </row>
    <row r="16" spans="1:16" ht="15">
      <c r="B16" s="31">
        <f t="shared" si="3"/>
        <v>2025013</v>
      </c>
      <c r="C16" s="75">
        <f t="shared" si="4"/>
        <v>45821</v>
      </c>
      <c r="D16" s="74">
        <f t="shared" si="5"/>
        <v>45834</v>
      </c>
      <c r="E16" s="79"/>
      <c r="G16" s="31">
        <f t="shared" si="6"/>
        <v>2025013</v>
      </c>
      <c r="H16" s="75">
        <f t="shared" si="9"/>
        <v>45740</v>
      </c>
      <c r="I16" s="74">
        <f t="shared" si="10"/>
        <v>45746</v>
      </c>
      <c r="K16" s="31">
        <f t="shared" si="0"/>
        <v>2025040</v>
      </c>
      <c r="L16" s="75">
        <f t="shared" si="1"/>
        <v>45929</v>
      </c>
      <c r="M16" s="74">
        <f t="shared" si="2"/>
        <v>45935</v>
      </c>
      <c r="O16" s="80"/>
      <c r="P16" s="80"/>
    </row>
    <row r="17" spans="2:16" ht="15">
      <c r="B17" s="31">
        <f t="shared" si="3"/>
        <v>2025014</v>
      </c>
      <c r="C17" s="75">
        <f t="shared" si="4"/>
        <v>45835</v>
      </c>
      <c r="D17" s="74">
        <f t="shared" si="5"/>
        <v>45848</v>
      </c>
      <c r="E17" s="79"/>
      <c r="G17" s="31">
        <f t="shared" si="6"/>
        <v>2025014</v>
      </c>
      <c r="H17" s="75">
        <f t="shared" si="9"/>
        <v>45747</v>
      </c>
      <c r="I17" s="74">
        <f t="shared" si="10"/>
        <v>45753</v>
      </c>
      <c r="K17" s="31">
        <f t="shared" si="0"/>
        <v>2025041</v>
      </c>
      <c r="L17" s="75">
        <f t="shared" si="1"/>
        <v>45936</v>
      </c>
      <c r="M17" s="74">
        <f t="shared" si="2"/>
        <v>45942</v>
      </c>
      <c r="O17" s="80"/>
      <c r="P17" s="80"/>
    </row>
    <row r="18" spans="2:16" ht="15">
      <c r="B18" s="31">
        <f t="shared" si="3"/>
        <v>2025015</v>
      </c>
      <c r="C18" s="75">
        <f t="shared" si="4"/>
        <v>45849</v>
      </c>
      <c r="D18" s="74">
        <f t="shared" si="5"/>
        <v>45862</v>
      </c>
      <c r="E18" s="79"/>
      <c r="G18" s="31">
        <f t="shared" si="6"/>
        <v>2025015</v>
      </c>
      <c r="H18" s="75">
        <f t="shared" si="9"/>
        <v>45754</v>
      </c>
      <c r="I18" s="74">
        <f t="shared" si="10"/>
        <v>45760</v>
      </c>
      <c r="K18" s="31">
        <f t="shared" si="0"/>
        <v>2025042</v>
      </c>
      <c r="L18" s="75">
        <f t="shared" si="1"/>
        <v>45943</v>
      </c>
      <c r="M18" s="74">
        <f t="shared" si="2"/>
        <v>45949</v>
      </c>
      <c r="O18" s="80"/>
      <c r="P18" s="80"/>
    </row>
    <row r="19" spans="2:16" ht="15">
      <c r="B19" s="31">
        <f t="shared" si="3"/>
        <v>2025016</v>
      </c>
      <c r="C19" s="75">
        <f t="shared" si="4"/>
        <v>45863</v>
      </c>
      <c r="D19" s="74">
        <f t="shared" si="5"/>
        <v>45876</v>
      </c>
      <c r="E19" s="79"/>
      <c r="G19" s="31">
        <f t="shared" si="6"/>
        <v>2025016</v>
      </c>
      <c r="H19" s="75">
        <f t="shared" si="9"/>
        <v>45761</v>
      </c>
      <c r="I19" s="74">
        <f t="shared" si="10"/>
        <v>45767</v>
      </c>
      <c r="K19" s="31">
        <f t="shared" si="0"/>
        <v>2025043</v>
      </c>
      <c r="L19" s="75">
        <f t="shared" si="1"/>
        <v>45950</v>
      </c>
      <c r="M19" s="74">
        <f t="shared" si="2"/>
        <v>45956</v>
      </c>
      <c r="O19" s="80"/>
      <c r="P19" s="80"/>
    </row>
    <row r="20" spans="2:16" ht="15">
      <c r="B20" s="31">
        <f t="shared" si="3"/>
        <v>2025017</v>
      </c>
      <c r="C20" s="75">
        <f t="shared" si="4"/>
        <v>45877</v>
      </c>
      <c r="D20" s="74">
        <f t="shared" si="5"/>
        <v>45890</v>
      </c>
      <c r="E20" s="79"/>
      <c r="G20" s="31">
        <f t="shared" si="6"/>
        <v>2025017</v>
      </c>
      <c r="H20" s="75">
        <f t="shared" si="9"/>
        <v>45768</v>
      </c>
      <c r="I20" s="74">
        <f t="shared" si="10"/>
        <v>45774</v>
      </c>
      <c r="K20" s="31">
        <f t="shared" si="0"/>
        <v>2025044</v>
      </c>
      <c r="L20" s="75">
        <f t="shared" si="1"/>
        <v>45957</v>
      </c>
      <c r="M20" s="74">
        <f t="shared" si="2"/>
        <v>45963</v>
      </c>
      <c r="O20" s="80"/>
      <c r="P20" s="80"/>
    </row>
    <row r="21" spans="2:16" ht="15">
      <c r="B21" s="31">
        <f t="shared" si="3"/>
        <v>2025018</v>
      </c>
      <c r="C21" s="75">
        <f t="shared" si="4"/>
        <v>45891</v>
      </c>
      <c r="D21" s="74">
        <f t="shared" si="5"/>
        <v>45904</v>
      </c>
      <c r="E21" s="79"/>
      <c r="G21" s="31">
        <f t="shared" si="6"/>
        <v>2025018</v>
      </c>
      <c r="H21" s="75">
        <f t="shared" si="9"/>
        <v>45775</v>
      </c>
      <c r="I21" s="74">
        <f t="shared" si="10"/>
        <v>45781</v>
      </c>
      <c r="K21" s="31">
        <f t="shared" si="0"/>
        <v>2025045</v>
      </c>
      <c r="L21" s="75">
        <f t="shared" si="1"/>
        <v>45964</v>
      </c>
      <c r="M21" s="74">
        <f t="shared" si="2"/>
        <v>45970</v>
      </c>
      <c r="O21" s="80"/>
      <c r="P21" s="80"/>
    </row>
    <row r="22" spans="2:16" ht="15">
      <c r="B22" s="31">
        <f t="shared" si="3"/>
        <v>2025019</v>
      </c>
      <c r="C22" s="75">
        <f>+D21+1</f>
        <v>45905</v>
      </c>
      <c r="D22" s="74">
        <f t="shared" si="5"/>
        <v>45918</v>
      </c>
      <c r="E22" s="79"/>
      <c r="G22" s="31">
        <f t="shared" si="6"/>
        <v>2025019</v>
      </c>
      <c r="H22" s="75">
        <f t="shared" si="9"/>
        <v>45782</v>
      </c>
      <c r="I22" s="74">
        <f t="shared" si="10"/>
        <v>45788</v>
      </c>
      <c r="K22" s="31">
        <f t="shared" si="0"/>
        <v>2025046</v>
      </c>
      <c r="L22" s="75">
        <f t="shared" si="1"/>
        <v>45971</v>
      </c>
      <c r="M22" s="74">
        <f t="shared" si="2"/>
        <v>45977</v>
      </c>
      <c r="O22" s="80"/>
      <c r="P22" s="80"/>
    </row>
    <row r="23" spans="2:16" ht="15">
      <c r="B23" s="31">
        <f t="shared" si="3"/>
        <v>2025020</v>
      </c>
      <c r="C23" s="75">
        <f t="shared" si="4"/>
        <v>45919</v>
      </c>
      <c r="D23" s="74">
        <f t="shared" si="5"/>
        <v>45932</v>
      </c>
      <c r="E23" s="79"/>
      <c r="G23" s="31">
        <f t="shared" si="6"/>
        <v>2025020</v>
      </c>
      <c r="H23" s="75">
        <f t="shared" si="9"/>
        <v>45789</v>
      </c>
      <c r="I23" s="74">
        <f t="shared" si="10"/>
        <v>45795</v>
      </c>
      <c r="K23" s="31">
        <f t="shared" si="0"/>
        <v>2025047</v>
      </c>
      <c r="L23" s="75">
        <f t="shared" si="1"/>
        <v>45978</v>
      </c>
      <c r="M23" s="74">
        <f t="shared" si="2"/>
        <v>45984</v>
      </c>
      <c r="O23" s="80"/>
      <c r="P23" s="80"/>
    </row>
    <row r="24" spans="2:16" ht="15">
      <c r="B24" s="31">
        <f t="shared" si="3"/>
        <v>2025021</v>
      </c>
      <c r="C24" s="75">
        <f t="shared" si="4"/>
        <v>45933</v>
      </c>
      <c r="D24" s="74">
        <f t="shared" si="5"/>
        <v>45946</v>
      </c>
      <c r="E24" s="79"/>
      <c r="G24" s="31">
        <f t="shared" si="6"/>
        <v>2025021</v>
      </c>
      <c r="H24" s="75">
        <f t="shared" si="9"/>
        <v>45796</v>
      </c>
      <c r="I24" s="74">
        <f t="shared" si="10"/>
        <v>45802</v>
      </c>
      <c r="K24" s="31">
        <f t="shared" si="0"/>
        <v>2025048</v>
      </c>
      <c r="L24" s="75">
        <f t="shared" si="1"/>
        <v>45985</v>
      </c>
      <c r="M24" s="74">
        <f t="shared" si="2"/>
        <v>45991</v>
      </c>
      <c r="O24" s="80"/>
      <c r="P24" s="80"/>
    </row>
    <row r="25" spans="2:16" ht="15">
      <c r="B25" s="31">
        <f t="shared" si="3"/>
        <v>2025022</v>
      </c>
      <c r="C25" s="75">
        <f t="shared" si="4"/>
        <v>45947</v>
      </c>
      <c r="D25" s="74">
        <f t="shared" si="5"/>
        <v>45960</v>
      </c>
      <c r="E25" s="79"/>
      <c r="G25" s="31">
        <f t="shared" si="6"/>
        <v>2025022</v>
      </c>
      <c r="H25" s="75">
        <f t="shared" si="9"/>
        <v>45803</v>
      </c>
      <c r="I25" s="74">
        <f t="shared" si="10"/>
        <v>45809</v>
      </c>
      <c r="K25" s="31">
        <f t="shared" si="0"/>
        <v>2025049</v>
      </c>
      <c r="L25" s="75">
        <f t="shared" si="1"/>
        <v>45992</v>
      </c>
      <c r="M25" s="74">
        <f t="shared" si="2"/>
        <v>45998</v>
      </c>
      <c r="O25" s="80"/>
      <c r="P25" s="80"/>
    </row>
    <row r="26" spans="2:16" ht="15">
      <c r="B26" s="31">
        <f t="shared" si="3"/>
        <v>2025023</v>
      </c>
      <c r="C26" s="75">
        <f t="shared" si="4"/>
        <v>45961</v>
      </c>
      <c r="D26" s="74">
        <f t="shared" si="5"/>
        <v>45974</v>
      </c>
      <c r="E26" s="79"/>
      <c r="G26" s="31">
        <f t="shared" si="6"/>
        <v>2025023</v>
      </c>
      <c r="H26" s="75">
        <f t="shared" si="9"/>
        <v>45810</v>
      </c>
      <c r="I26" s="74">
        <f t="shared" si="10"/>
        <v>45816</v>
      </c>
      <c r="K26" s="31">
        <f t="shared" si="0"/>
        <v>2025050</v>
      </c>
      <c r="L26" s="75">
        <f t="shared" si="1"/>
        <v>45999</v>
      </c>
      <c r="M26" s="74">
        <f t="shared" si="2"/>
        <v>46005</v>
      </c>
      <c r="O26" s="80"/>
      <c r="P26" s="80"/>
    </row>
    <row r="27" spans="2:16" ht="15">
      <c r="B27" s="31">
        <f t="shared" si="3"/>
        <v>2025024</v>
      </c>
      <c r="C27" s="75">
        <f t="shared" si="4"/>
        <v>45975</v>
      </c>
      <c r="D27" s="74">
        <f t="shared" si="5"/>
        <v>45988</v>
      </c>
      <c r="E27" s="79"/>
      <c r="G27" s="31">
        <f t="shared" si="6"/>
        <v>2025024</v>
      </c>
      <c r="H27" s="75">
        <f t="shared" si="9"/>
        <v>45817</v>
      </c>
      <c r="I27" s="74">
        <f t="shared" si="10"/>
        <v>45823</v>
      </c>
      <c r="K27" s="31">
        <f t="shared" si="0"/>
        <v>2025051</v>
      </c>
      <c r="L27" s="75">
        <f t="shared" si="1"/>
        <v>46006</v>
      </c>
      <c r="M27" s="74">
        <f t="shared" si="2"/>
        <v>46012</v>
      </c>
      <c r="O27" s="80"/>
      <c r="P27" s="80"/>
    </row>
    <row r="28" spans="2:16" ht="15">
      <c r="B28" s="31">
        <f t="shared" si="3"/>
        <v>2025025</v>
      </c>
      <c r="C28" s="75">
        <f t="shared" si="4"/>
        <v>45989</v>
      </c>
      <c r="D28" s="74">
        <f t="shared" si="5"/>
        <v>46002</v>
      </c>
      <c r="E28" s="79"/>
      <c r="G28" s="31">
        <f t="shared" si="6"/>
        <v>2025025</v>
      </c>
      <c r="H28" s="75">
        <f t="shared" si="9"/>
        <v>45824</v>
      </c>
      <c r="I28" s="74">
        <f t="shared" si="10"/>
        <v>45830</v>
      </c>
      <c r="K28" s="31">
        <f t="shared" si="0"/>
        <v>2025052</v>
      </c>
      <c r="L28" s="75">
        <f t="shared" si="1"/>
        <v>46013</v>
      </c>
      <c r="M28" s="74">
        <f t="shared" si="2"/>
        <v>46019</v>
      </c>
      <c r="O28" s="80"/>
      <c r="P28" s="80"/>
    </row>
    <row r="29" spans="2:16" ht="15">
      <c r="B29" s="31">
        <f t="shared" si="3"/>
        <v>2025026</v>
      </c>
      <c r="C29" s="75">
        <f t="shared" si="4"/>
        <v>46003</v>
      </c>
      <c r="D29" s="74">
        <f t="shared" si="5"/>
        <v>46016</v>
      </c>
      <c r="E29" s="79"/>
      <c r="G29" s="31">
        <f t="shared" si="6"/>
        <v>2025026</v>
      </c>
      <c r="H29" s="75">
        <f t="shared" si="9"/>
        <v>45831</v>
      </c>
      <c r="I29" s="74">
        <f t="shared" si="10"/>
        <v>45837</v>
      </c>
      <c r="K29" s="31">
        <v>2026001</v>
      </c>
      <c r="L29" s="75">
        <f t="shared" si="1"/>
        <v>46020</v>
      </c>
      <c r="M29" s="74">
        <f t="shared" si="2"/>
        <v>46026</v>
      </c>
      <c r="O29" s="80"/>
      <c r="P29" s="80"/>
    </row>
    <row r="30" spans="2:16" ht="15.75" thickBot="1">
      <c r="B30" s="32">
        <v>2026001</v>
      </c>
      <c r="C30" s="76">
        <f t="shared" ref="C30" si="11">+D29+1</f>
        <v>46017</v>
      </c>
      <c r="D30" s="77">
        <f t="shared" ref="D30" si="12">+C30+14-1</f>
        <v>46030</v>
      </c>
      <c r="E30" s="79"/>
      <c r="G30" s="32">
        <f t="shared" si="6"/>
        <v>2025027</v>
      </c>
      <c r="H30" s="76">
        <f t="shared" si="9"/>
        <v>45838</v>
      </c>
      <c r="I30" s="77">
        <f t="shared" si="10"/>
        <v>45844</v>
      </c>
      <c r="K30" s="32">
        <f>K29+1</f>
        <v>2026002</v>
      </c>
      <c r="L30" s="76">
        <f t="shared" ref="L30" si="13">+M29+1</f>
        <v>46027</v>
      </c>
      <c r="M30" s="77">
        <f t="shared" ref="M30" si="14">+L30+7-1</f>
        <v>46033</v>
      </c>
      <c r="O30" s="80"/>
      <c r="P30" s="80"/>
    </row>
  </sheetData>
  <mergeCells count="2">
    <mergeCell ref="G1:M1"/>
    <mergeCell ref="B1:D1"/>
  </mergeCells>
  <pageMargins left="0.31496062992125984" right="0.70866141732283472" top="0.74803149606299213" bottom="0.74803149606299213" header="0.31496062992125984" footer="0.31496062992125984"/>
  <pageSetup scale="83" orientation="landscape" r:id="rId1"/>
  <ignoredErrors>
    <ignoredError sqref="I13"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CALENDARIO 2025</vt:lpstr>
      <vt:lpstr>NORMATIVA DE ASUETOS</vt:lpstr>
      <vt:lpstr>CALENDARIO DE PAGO NOMINA 2025</vt:lpstr>
    </vt:vector>
  </TitlesOfParts>
  <Company>Presidencia Municipal de León, Gto.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 Victoria Gabriela Alvizo Fuentes</dc:creator>
  <cp:lastModifiedBy>Hersen .</cp:lastModifiedBy>
  <cp:lastPrinted>2024-12-20T16:00:41Z</cp:lastPrinted>
  <dcterms:created xsi:type="dcterms:W3CDTF">2015-01-07T21:12:34Z</dcterms:created>
  <dcterms:modified xsi:type="dcterms:W3CDTF">2025-02-04T22:33:40Z</dcterms:modified>
</cp:coreProperties>
</file>